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62b4faf34a126/"/>
    </mc:Choice>
  </mc:AlternateContent>
  <xr:revisionPtr revIDLastSave="428" documentId="8_{2150669C-08A6-427A-BE0D-8F4060E99034}" xr6:coauthVersionLast="47" xr6:coauthVersionMax="47" xr10:uidLastSave="{C2ECCABB-75B3-4F5F-94FE-0B03FB968638}"/>
  <bookViews>
    <workbookView xWindow="-108" yWindow="-108" windowWidth="23256" windowHeight="12456" firstSheet="10" activeTab="13" xr2:uid="{44ECA33B-6706-4F08-82AF-F932C8BBBCF7}"/>
  </bookViews>
  <sheets>
    <sheet name="Sheet1" sheetId="1" r:id="rId1"/>
    <sheet name="trim" sheetId="2" r:id="rId2"/>
    <sheet name="concatenate" sheetId="3" r:id="rId3"/>
    <sheet name="substitute" sheetId="4" r:id="rId4"/>
    <sheet name="sum-sumIF" sheetId="5" r:id="rId5"/>
    <sheet name="Count-CountIF" sheetId="6" r:id="rId6"/>
    <sheet name="Days-NetworkDAYS" sheetId="7" r:id="rId7"/>
    <sheet name="XLookUp" sheetId="8" r:id="rId8"/>
    <sheet name="XLookUp Multiple Rows" sheetId="9" r:id="rId9"/>
    <sheet name="XLookUp exact match" sheetId="11" r:id="rId10"/>
    <sheet name="XLookUp Search Order" sheetId="10" r:id="rId11"/>
    <sheet name="XLookUp Horizontal" sheetId="12" r:id="rId12"/>
    <sheet name="XLookUp w sum" sheetId="13" r:id="rId13"/>
    <sheet name="VLookup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4" l="1"/>
  <c r="B5" i="14"/>
  <c r="B3" i="14"/>
  <c r="M3" i="14"/>
  <c r="M4" i="14"/>
  <c r="M5" i="14"/>
  <c r="M6" i="14"/>
  <c r="M7" i="14"/>
  <c r="M8" i="14"/>
  <c r="R8" i="14"/>
  <c r="R7" i="14"/>
  <c r="R6" i="14"/>
  <c r="R5" i="14"/>
  <c r="R4" i="14"/>
  <c r="R3" i="14"/>
  <c r="R2" i="14"/>
  <c r="Q2" i="14" a="1"/>
  <c r="Q2" i="14" s="1"/>
  <c r="O2" i="14" a="1"/>
  <c r="O2" i="14" s="1"/>
  <c r="M2" i="14"/>
  <c r="C10" i="13"/>
  <c r="C11" i="13"/>
  <c r="C9" i="13"/>
  <c r="C4" i="13"/>
  <c r="C3" i="13"/>
  <c r="C2" i="13"/>
  <c r="C3" i="12"/>
  <c r="C4" i="12"/>
  <c r="C2" i="12"/>
  <c r="B4" i="10"/>
  <c r="B5" i="10" a="1"/>
  <c r="B5" i="10" s="1"/>
  <c r="R8" i="10"/>
  <c r="M8" i="10"/>
  <c r="R7" i="10"/>
  <c r="M7" i="10"/>
  <c r="R6" i="10"/>
  <c r="M6" i="10"/>
  <c r="R5" i="10"/>
  <c r="M5" i="10"/>
  <c r="R4" i="10"/>
  <c r="M4" i="10"/>
  <c r="R3" i="10"/>
  <c r="M3" i="10"/>
  <c r="R2" i="10"/>
  <c r="Q2" i="10" a="1"/>
  <c r="Q2" i="10" s="1"/>
  <c r="O2" i="10" a="1"/>
  <c r="O2" i="10" s="1"/>
  <c r="M2" i="10"/>
  <c r="B3" i="11"/>
  <c r="B4" i="11"/>
  <c r="B2" i="11"/>
  <c r="Q8" i="11"/>
  <c r="L8" i="11"/>
  <c r="Q7" i="11"/>
  <c r="L7" i="11"/>
  <c r="Q6" i="11"/>
  <c r="L6" i="11"/>
  <c r="Q5" i="11"/>
  <c r="L5" i="11"/>
  <c r="Q4" i="11"/>
  <c r="L4" i="11"/>
  <c r="Q3" i="11"/>
  <c r="L3" i="11"/>
  <c r="Q2" i="11"/>
  <c r="P2" i="11" a="1"/>
  <c r="P2" i="11" s="1"/>
  <c r="N2" i="11" a="1"/>
  <c r="N2" i="11" s="1"/>
  <c r="L2" i="11"/>
  <c r="B3" i="9" a="1"/>
  <c r="B3" i="9" s="1"/>
  <c r="B4" i="9" a="1"/>
  <c r="B4" i="9" s="1"/>
  <c r="B2" i="9" a="1"/>
  <c r="B2" i="9" s="1"/>
  <c r="R2" i="9" a="1"/>
  <c r="R2" i="9" s="1"/>
  <c r="P2" i="9" a="1"/>
  <c r="P2" i="9" s="1"/>
  <c r="S8" i="9"/>
  <c r="N8" i="9"/>
  <c r="S7" i="9"/>
  <c r="N7" i="9"/>
  <c r="S6" i="9"/>
  <c r="N6" i="9"/>
  <c r="S5" i="9"/>
  <c r="N5" i="9"/>
  <c r="S4" i="9"/>
  <c r="N4" i="9"/>
  <c r="S3" i="9"/>
  <c r="N3" i="9"/>
  <c r="S2" i="9"/>
  <c r="N2" i="9"/>
  <c r="B3" i="8"/>
  <c r="B4" i="8"/>
  <c r="N3" i="8"/>
  <c r="N4" i="8"/>
  <c r="N5" i="8"/>
  <c r="N6" i="8"/>
  <c r="N7" i="8"/>
  <c r="N8" i="8"/>
  <c r="N2" i="8"/>
  <c r="B2" i="8"/>
  <c r="O8" i="8"/>
  <c r="O7" i="8"/>
  <c r="O6" i="8"/>
  <c r="O5" i="8"/>
  <c r="O4" i="8"/>
  <c r="O3" i="8"/>
  <c r="O2" i="8"/>
  <c r="K3" i="7"/>
  <c r="K4" i="7"/>
  <c r="K5" i="7"/>
  <c r="K6" i="7"/>
  <c r="K7" i="7"/>
  <c r="K8" i="7"/>
  <c r="K2" i="7"/>
  <c r="J2" i="7" a="1"/>
  <c r="J2" i="7" s="1"/>
  <c r="H2" i="7" a="1"/>
  <c r="H2" i="7" s="1"/>
  <c r="L2" i="7" s="1"/>
  <c r="K2" i="6"/>
  <c r="J2" i="6"/>
  <c r="I2" i="6"/>
  <c r="H2" i="6" a="1"/>
  <c r="H2" i="6" s="1"/>
  <c r="K2" i="5"/>
  <c r="J2" i="5"/>
  <c r="I2" i="5"/>
  <c r="H2" i="5" a="1"/>
  <c r="H2" i="5" s="1"/>
  <c r="K2" i="4" a="1"/>
  <c r="K2" i="4" s="1"/>
  <c r="J2" i="4" a="1"/>
  <c r="J2" i="4" s="1"/>
  <c r="I2" i="4" a="1"/>
  <c r="I2" i="4" s="1"/>
  <c r="H2" i="4" a="1"/>
  <c r="H2" i="4" s="1"/>
  <c r="I6" i="3"/>
  <c r="I3" i="3"/>
  <c r="I4" i="3"/>
  <c r="I5" i="3"/>
  <c r="I7" i="3"/>
  <c r="I8" i="3"/>
  <c r="I2" i="3"/>
  <c r="H3" i="3"/>
  <c r="H4" i="3"/>
  <c r="H5" i="3"/>
  <c r="H6" i="3"/>
  <c r="H7" i="3"/>
  <c r="H8" i="3"/>
  <c r="H2" i="3"/>
  <c r="H2" i="2" a="1"/>
  <c r="H2" i="2" s="1"/>
  <c r="S2" i="1" a="1"/>
  <c r="S2" i="1" s="1"/>
  <c r="S1" i="1" a="1"/>
  <c r="S1" i="1" s="1"/>
  <c r="R2" i="1" a="1"/>
  <c r="R2" i="1" s="1"/>
  <c r="Q2" i="1" a="1"/>
  <c r="Q2" i="1" s="1"/>
  <c r="O2" i="1" a="1"/>
  <c r="O2" i="1" s="1"/>
  <c r="L2" i="1" a="1"/>
  <c r="L2" i="1" s="1"/>
  <c r="K2" i="1" a="1"/>
  <c r="K2" i="1" s="1"/>
  <c r="J2" i="1" a="1"/>
  <c r="J2" i="1" s="1"/>
  <c r="I2" i="1" a="1"/>
  <c r="I2" i="1" s="1"/>
  <c r="H2" i="1" a="1"/>
  <c r="H2" i="1" s="1"/>
  <c r="G6" i="1" a="1"/>
  <c r="G6" i="1" s="1"/>
  <c r="G4" i="1"/>
  <c r="G2" i="1"/>
  <c r="L5" i="7" l="1"/>
  <c r="L4" i="7"/>
  <c r="L3" i="7"/>
  <c r="L7" i="7"/>
  <c r="L6" i="7"/>
  <c r="L8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<sst xmlns="http://schemas.openxmlformats.org/spreadsheetml/2006/main" count="465" uniqueCount="89">
  <si>
    <t>Employee</t>
  </si>
  <si>
    <t xml:space="preserve">FirstName </t>
  </si>
  <si>
    <t>Jim</t>
  </si>
  <si>
    <t>Pam</t>
  </si>
  <si>
    <t>Dwight</t>
  </si>
  <si>
    <t>Angela</t>
  </si>
  <si>
    <t>Toby</t>
  </si>
  <si>
    <t>Meredith</t>
  </si>
  <si>
    <t>Stanley</t>
  </si>
  <si>
    <t>LastName</t>
  </si>
  <si>
    <t>Halpert</t>
  </si>
  <si>
    <t>Beasley</t>
  </si>
  <si>
    <t>Schrute</t>
  </si>
  <si>
    <t>Flenderson</t>
  </si>
  <si>
    <t>Scott</t>
  </si>
  <si>
    <t>Palmer</t>
  </si>
  <si>
    <t>Hudson</t>
  </si>
  <si>
    <t>Age</t>
  </si>
  <si>
    <t>Gender</t>
  </si>
  <si>
    <t>Male</t>
  </si>
  <si>
    <t>Female</t>
  </si>
  <si>
    <t>Salary</t>
  </si>
  <si>
    <t>max</t>
  </si>
  <si>
    <t>min</t>
  </si>
  <si>
    <t>if</t>
  </si>
  <si>
    <t>ifs</t>
  </si>
  <si>
    <t>len</t>
  </si>
  <si>
    <t>"=len()"</t>
  </si>
  <si>
    <t>"=max()"</t>
  </si>
  <si>
    <t>"=min()"</t>
  </si>
  <si>
    <t>"=if()"</t>
  </si>
  <si>
    <t>"=ifs()"</t>
  </si>
  <si>
    <t>left</t>
  </si>
  <si>
    <t>right</t>
  </si>
  <si>
    <t>date</t>
  </si>
  <si>
    <t>"=text(h1,"dd/mm/yyyy)"</t>
  </si>
  <si>
    <t>trim(c2)</t>
  </si>
  <si>
    <t>it removes the unwanted space</t>
  </si>
  <si>
    <t xml:space="preserve">   Scott</t>
  </si>
  <si>
    <t>concatenate(B2,"",C2)</t>
  </si>
  <si>
    <t>IT IS MOSTLY USEFUL FOR GENERATING EMAILS</t>
  </si>
  <si>
    <t>with 1 instance</t>
  </si>
  <si>
    <t>with 2 instance</t>
  </si>
  <si>
    <t>with no instance</t>
  </si>
  <si>
    <t>datetext</t>
  </si>
  <si>
    <t>SUM</t>
  </si>
  <si>
    <t>SUMIF</t>
  </si>
  <si>
    <t>SUMIFS</t>
  </si>
  <si>
    <t>Count</t>
  </si>
  <si>
    <t>CountIF</t>
  </si>
  <si>
    <t>CountIFS</t>
  </si>
  <si>
    <t>end-date</t>
  </si>
  <si>
    <t>start-date</t>
  </si>
  <si>
    <t>days</t>
  </si>
  <si>
    <t>networkdays</t>
  </si>
  <si>
    <t>FullName</t>
  </si>
  <si>
    <t>EMAILS</t>
  </si>
  <si>
    <t>fullname</t>
  </si>
  <si>
    <t>email</t>
  </si>
  <si>
    <t>Jim Halpert</t>
  </si>
  <si>
    <t>Stanley Hudson</t>
  </si>
  <si>
    <t>Toby Scott</t>
  </si>
  <si>
    <t>endDate</t>
  </si>
  <si>
    <t>EMAIL</t>
  </si>
  <si>
    <t>Toby Flender</t>
  </si>
  <si>
    <t>start date</t>
  </si>
  <si>
    <t>person</t>
  </si>
  <si>
    <t>January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</si>
  <si>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</si>
  <si>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</si>
  <si>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</si>
  <si>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</si>
  <si>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</si>
  <si>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</si>
  <si>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</si>
  <si>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</si>
  <si>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</si>
  <si>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</si>
  <si>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</si>
  <si>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</si>
  <si>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</si>
  <si>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</si>
  <si>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 xml:space="preserve">paper </t>
  </si>
  <si>
    <t>Manila Folder</t>
  </si>
  <si>
    <t>February</t>
  </si>
  <si>
    <t>sum</t>
  </si>
  <si>
    <t>feburary</t>
  </si>
  <si>
    <t>full name</t>
  </si>
  <si>
    <t>Angela Flenderson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</si>
</sst>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6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  <xf numFmtId="16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D031-0FCF-4A59-9F00-CC340A8059B4}">
  <dimension ref="A1:S10"/>
  <sheetViews>
    <sheetView workbookViewId="0">
      <selection activeCell="M1" sqref="M1:M8"/>
    </sheetView>
  </sheetViews>
  <sheetFormatPr defaultRowHeight="14.4" x14ac:dyDescent="0.3"/>
  <cols>
    <col min="13" max="13" width="10.33203125" bestFit="1" customWidth="1"/>
  </cols>
  <sheetData>
    <row r="1" spans="1:19" x14ac:dyDescent="0.3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21</v>
      </c>
      <c r="G1" t="s">
        <v>22</v>
      </c>
      <c r="H1" t="s">
        <v>24</v>
      </c>
      <c r="I1" t="s">
        <v>25</v>
      </c>
      <c r="J1" t="s">
        <v>26</v>
      </c>
      <c r="K1" t="s">
        <v>32</v>
      </c>
      <c r="L1" t="s">
        <v>33</v>
      </c>
      <c r="M1" t="s">
        <v>34</v>
      </c>
      <c r="N1" t="s">
        <v>35</v>
      </c>
      <c r="Q1" t="s">
        <v>34</v>
      </c>
      <c r="R1" t="s">
        <v>33</v>
      </c>
      <c r="S1" t="e" cm="1">
        <f t="array" ref="S1">rig</f>
        <v>#NAME?</v>
      </c>
    </row>
    <row r="2" spans="1:19" x14ac:dyDescent="0.3">
      <c r="A2">
        <v>1001</v>
      </c>
      <c r="B2" t="s">
        <v>2</v>
      </c>
      <c r="C2" t="s">
        <v>10</v>
      </c>
      <c r="D2">
        <v>30</v>
      </c>
      <c r="E2" t="s">
        <v>19</v>
      </c>
      <c r="F2">
        <v>1011000</v>
      </c>
      <c r="G2">
        <f>MAX(D2:D8)</f>
        <v>35</v>
      </c>
      <c r="H2" t="str" cm="1">
        <f t="array" ref="H2:H8">IF(D2:D8&gt;30,"old","young")</f>
        <v>young</v>
      </c>
      <c r="I2" t="str" cm="1">
        <f t="array" ref="I2:I8">_xlfn.IFS(D2:D8=30,"young",D2:D8="35","old")</f>
        <v>young</v>
      </c>
      <c r="J2" cm="1">
        <f t="array" ref="J2:J8">LEN(C2:C8)</f>
        <v>7</v>
      </c>
      <c r="K2" t="str" cm="1">
        <f t="array" ref="K2:K8">LEFT(B2:B8,3)</f>
        <v>Jim</v>
      </c>
      <c r="L2" t="str" cm="1">
        <f t="array" ref="L2:L8">RIGHT(A2:A8,1)</f>
        <v>1</v>
      </c>
      <c r="M2" s="1">
        <v>36933</v>
      </c>
      <c r="N2" s="2"/>
      <c r="O2" t="e" cm="1">
        <f t="array" ref="O2">RIGHT(_xlfn.ANCHORARRAY(N2),4)</f>
        <v>#REF!</v>
      </c>
      <c r="Q2" t="str" cm="1">
        <f t="array" ref="Q2:Q8">TEXT(M2:M8,"dd/mm/yyyy")</f>
        <v>11/02/2001</v>
      </c>
      <c r="R2" t="str" cm="1">
        <f t="array" ref="R2:R8">RIGHT(_xlfn.ANCHORARRAY(Q2),4)</f>
        <v>2001</v>
      </c>
      <c r="S2" t="str" cm="1">
        <f t="array" ref="S2:S8">RIGHT(_xlfn.ANCHORARRAY(Q2),4)</f>
        <v>2001</v>
      </c>
    </row>
    <row r="3" spans="1:19" x14ac:dyDescent="0.3">
      <c r="A3">
        <v>1002</v>
      </c>
      <c r="B3" t="s">
        <v>3</v>
      </c>
      <c r="C3" t="s">
        <v>11</v>
      </c>
      <c r="D3">
        <v>30</v>
      </c>
      <c r="E3" t="s">
        <v>20</v>
      </c>
      <c r="F3">
        <v>5468000</v>
      </c>
      <c r="G3" t="s">
        <v>23</v>
      </c>
      <c r="H3" t="str">
        <v>young</v>
      </c>
      <c r="I3" t="str">
        <v>young</v>
      </c>
      <c r="J3">
        <v>7</v>
      </c>
      <c r="K3" t="str">
        <v>Pam</v>
      </c>
      <c r="L3" t="str">
        <v>2</v>
      </c>
      <c r="M3" s="1">
        <v>34770</v>
      </c>
      <c r="N3" s="2"/>
      <c r="Q3" t="str">
        <v>12/03/1995</v>
      </c>
      <c r="R3" t="str">
        <v>1995</v>
      </c>
      <c r="S3" t="str">
        <v>1995</v>
      </c>
    </row>
    <row r="4" spans="1:19" x14ac:dyDescent="0.3">
      <c r="A4">
        <v>1003</v>
      </c>
      <c r="B4" t="s">
        <v>4</v>
      </c>
      <c r="C4" t="s">
        <v>12</v>
      </c>
      <c r="D4">
        <v>29</v>
      </c>
      <c r="E4" t="s">
        <v>19</v>
      </c>
      <c r="F4">
        <v>32650</v>
      </c>
      <c r="G4">
        <f>MIN(D2:D8)</f>
        <v>29</v>
      </c>
      <c r="H4" t="str">
        <v>young</v>
      </c>
      <c r="I4" t="e">
        <v>#N/A</v>
      </c>
      <c r="J4">
        <v>7</v>
      </c>
      <c r="K4" t="str">
        <v>Dwi</v>
      </c>
      <c r="L4" t="str">
        <v>3</v>
      </c>
      <c r="M4" s="1">
        <v>35036</v>
      </c>
      <c r="N4" s="2"/>
      <c r="Q4" t="str">
        <v>03/12/1995</v>
      </c>
      <c r="R4" t="str">
        <v>1995</v>
      </c>
      <c r="S4" t="str">
        <v>1995</v>
      </c>
    </row>
    <row r="5" spans="1:19" x14ac:dyDescent="0.3">
      <c r="A5">
        <v>1004</v>
      </c>
      <c r="B5" t="s">
        <v>5</v>
      </c>
      <c r="C5" t="s">
        <v>13</v>
      </c>
      <c r="D5">
        <v>31</v>
      </c>
      <c r="E5" t="s">
        <v>20</v>
      </c>
      <c r="F5">
        <v>6998</v>
      </c>
      <c r="G5" t="s">
        <v>24</v>
      </c>
      <c r="H5" t="str">
        <v>old</v>
      </c>
      <c r="I5" t="e">
        <v>#N/A</v>
      </c>
      <c r="J5">
        <v>10</v>
      </c>
      <c r="K5" t="str">
        <v>Ang</v>
      </c>
      <c r="L5" t="str">
        <v>4</v>
      </c>
      <c r="M5" s="1">
        <v>34822</v>
      </c>
      <c r="N5" s="2"/>
      <c r="Q5" t="str">
        <v>03/05/1995</v>
      </c>
      <c r="R5" t="str">
        <v>1995</v>
      </c>
      <c r="S5" t="str">
        <v>1995</v>
      </c>
    </row>
    <row r="6" spans="1:19" x14ac:dyDescent="0.3">
      <c r="A6">
        <v>1005</v>
      </c>
      <c r="B6" t="s">
        <v>6</v>
      </c>
      <c r="C6" t="s">
        <v>14</v>
      </c>
      <c r="D6">
        <v>32</v>
      </c>
      <c r="E6" t="s">
        <v>19</v>
      </c>
      <c r="F6">
        <v>669876</v>
      </c>
      <c r="G6" t="e" cm="1">
        <f t="array" ref="G6">IF(age&gt;30,"old","young")</f>
        <v>#NAME?</v>
      </c>
      <c r="H6" t="str">
        <v>old</v>
      </c>
      <c r="I6" t="e">
        <v>#N/A</v>
      </c>
      <c r="J6">
        <v>5</v>
      </c>
      <c r="K6" t="str">
        <v>Tob</v>
      </c>
      <c r="L6" t="str">
        <v>5</v>
      </c>
      <c r="M6" s="1">
        <v>5</v>
      </c>
      <c r="N6" s="2"/>
      <c r="Q6" t="str">
        <v>05/01/1900</v>
      </c>
      <c r="R6" t="str">
        <v>1900</v>
      </c>
      <c r="S6" t="str">
        <v>1900</v>
      </c>
    </row>
    <row r="7" spans="1:19" x14ac:dyDescent="0.3">
      <c r="A7">
        <v>1006</v>
      </c>
      <c r="B7" t="s">
        <v>7</v>
      </c>
      <c r="C7" t="s">
        <v>15</v>
      </c>
      <c r="D7">
        <v>35</v>
      </c>
      <c r="E7" t="s">
        <v>19</v>
      </c>
      <c r="F7">
        <v>559623</v>
      </c>
      <c r="H7" t="str">
        <v>old</v>
      </c>
      <c r="I7" t="e">
        <v>#N/A</v>
      </c>
      <c r="J7">
        <v>6</v>
      </c>
      <c r="K7" t="str">
        <v>Mer</v>
      </c>
      <c r="L7" t="str">
        <v>6</v>
      </c>
      <c r="M7" s="1">
        <v>6</v>
      </c>
      <c r="N7" s="2"/>
      <c r="Q7" t="str">
        <v>06/01/1900</v>
      </c>
      <c r="R7" t="str">
        <v>1900</v>
      </c>
      <c r="S7" t="str">
        <v>1900</v>
      </c>
    </row>
    <row r="8" spans="1:19" x14ac:dyDescent="0.3">
      <c r="A8">
        <v>1007</v>
      </c>
      <c r="B8" t="s">
        <v>8</v>
      </c>
      <c r="C8" t="s">
        <v>16</v>
      </c>
      <c r="D8">
        <v>32</v>
      </c>
      <c r="E8" t="s">
        <v>20</v>
      </c>
      <c r="F8">
        <v>566566</v>
      </c>
      <c r="H8" t="str">
        <v>old</v>
      </c>
      <c r="I8" t="e">
        <v>#N/A</v>
      </c>
      <c r="J8">
        <v>6</v>
      </c>
      <c r="K8" t="str">
        <v>Sta</v>
      </c>
      <c r="L8" t="str">
        <v>7</v>
      </c>
      <c r="M8" s="1">
        <v>8</v>
      </c>
      <c r="N8" s="2"/>
      <c r="Q8" t="str">
        <v>08/01/1900</v>
      </c>
      <c r="R8" t="str">
        <v>1900</v>
      </c>
      <c r="S8" t="str">
        <v>1900</v>
      </c>
    </row>
    <row r="9" spans="1:19" x14ac:dyDescent="0.3">
      <c r="G9" t="s">
        <v>28</v>
      </c>
      <c r="H9" t="s">
        <v>30</v>
      </c>
      <c r="J9" t="s">
        <v>27</v>
      </c>
    </row>
    <row r="10" spans="1:19" x14ac:dyDescent="0.3">
      <c r="G10" t="s">
        <v>29</v>
      </c>
      <c r="H10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60FD-FDC3-4709-8B70-355AEA1D4254}">
  <dimension ref="A1:I8"/>
  <sheetViews>
    <sheetView workbookViewId="0">
      <selection sqref="A1:G8"/>
    </sheetView>
  </sheetViews>
  <sheetFormatPr defaultRowHeight="14.4" x14ac:dyDescent="0.3"/>
  <cols>
    <col min="7" max="7" width="10.33203125" bestFit="1" customWidth="1"/>
    <col min="9" max="9" width="41.6640625" customWidth="1"/>
  </cols>
  <sheetData>
    <row r="1" spans="1:9" x14ac:dyDescent="0.3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21</v>
      </c>
      <c r="G1" t="s">
        <v>34</v>
      </c>
      <c r="H1" t="s">
        <v>36</v>
      </c>
      <c r="I1" t="s">
        <v>37</v>
      </c>
    </row>
    <row r="2" spans="1:9" x14ac:dyDescent="0.3">
      <c r="A2">
        <v>1001</v>
      </c>
      <c r="B2" t="s">
        <v>2</v>
      </c>
      <c r="C2" t="s">
        <v>10</v>
      </c>
      <c r="D2">
        <v>30</v>
      </c>
      <c r="E2" t="s">
        <v>19</v>
      </c>
      <c r="F2">
        <v>1011000</v>
      </c>
      <c r="G2" s="1">
        <v>36933</v>
      </c>
      <c r="H2" t="str" cm="1">
        <f t="array" ref="H2:H8">TRIM(C2:C8)</f>
        <v>Halpert</v>
      </c>
    </row>
    <row r="3" spans="1:9" x14ac:dyDescent="0.3">
      <c r="A3">
        <v>1002</v>
      </c>
      <c r="B3" t="s">
        <v>3</v>
      </c>
      <c r="C3" t="s">
        <v>11</v>
      </c>
      <c r="D3">
        <v>30</v>
      </c>
      <c r="E3" t="s">
        <v>20</v>
      </c>
      <c r="F3">
        <v>5468000</v>
      </c>
      <c r="G3" s="1">
        <v>34770</v>
      </c>
      <c r="H3" t="str">
        <v>Beasley</v>
      </c>
    </row>
    <row r="4" spans="1:9" x14ac:dyDescent="0.3">
      <c r="A4">
        <v>1003</v>
      </c>
      <c r="B4" t="s">
        <v>4</v>
      </c>
      <c r="C4" t="s">
        <v>12</v>
      </c>
      <c r="D4">
        <v>29</v>
      </c>
      <c r="E4" t="s">
        <v>19</v>
      </c>
      <c r="F4">
        <v>32650</v>
      </c>
      <c r="G4" s="1">
        <v>35036</v>
      </c>
      <c r="H4" t="str">
        <v>Schrute</v>
      </c>
    </row>
    <row r="5" spans="1:9" x14ac:dyDescent="0.3">
      <c r="A5">
        <v>1004</v>
      </c>
      <c r="B5" t="s">
        <v>5</v>
      </c>
      <c r="C5" t="s">
        <v>13</v>
      </c>
      <c r="D5">
        <v>31</v>
      </c>
      <c r="E5" t="s">
        <v>20</v>
      </c>
      <c r="F5">
        <v>6998</v>
      </c>
      <c r="G5" s="1">
        <v>34822</v>
      </c>
      <c r="H5" t="str">
        <v>Flenderson</v>
      </c>
    </row>
    <row r="6" spans="1:9" x14ac:dyDescent="0.3">
      <c r="A6">
        <v>1005</v>
      </c>
      <c r="B6" t="s">
        <v>6</v>
      </c>
      <c r="C6" t="s">
        <v>38</v>
      </c>
      <c r="D6">
        <v>32</v>
      </c>
      <c r="E6" t="s">
        <v>19</v>
      </c>
      <c r="F6">
        <v>669876</v>
      </c>
      <c r="G6" s="1">
        <v>5</v>
      </c>
      <c r="H6" t="str">
        <v>Scott</v>
      </c>
    </row>
    <row r="7" spans="1:9" x14ac:dyDescent="0.3">
      <c r="A7">
        <v>1006</v>
      </c>
      <c r="B7" t="s">
        <v>7</v>
      </c>
      <c r="C7" t="s">
        <v>15</v>
      </c>
      <c r="D7">
        <v>35</v>
      </c>
      <c r="E7" t="s">
        <v>19</v>
      </c>
      <c r="F7">
        <v>559623</v>
      </c>
      <c r="G7" s="1">
        <v>6</v>
      </c>
      <c r="H7" t="str">
        <v>Palmer</v>
      </c>
    </row>
    <row r="8" spans="1:9" x14ac:dyDescent="0.3">
      <c r="A8">
        <v>1007</v>
      </c>
      <c r="B8" t="s">
        <v>8</v>
      </c>
      <c r="C8" t="s">
        <v>16</v>
      </c>
      <c r="D8">
        <v>32</v>
      </c>
      <c r="E8" t="s">
        <v>20</v>
      </c>
      <c r="F8">
        <v>566566</v>
      </c>
      <c r="G8" s="1">
        <v>8</v>
      </c>
      <c r="H8" t="str">
        <v>Hudson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CBF4-47DE-454D-8C88-52AEA7BD6F9C}">
  <dimension ref="A1:I8"/>
  <sheetViews>
    <sheetView workbookViewId="0">
      <selection sqref="A1:I8"/>
    </sheetView>
  </sheetViews>
  <sheetFormatPr defaultRowHeight="14.4" x14ac:dyDescent="0.3"/>
  <cols>
    <col min="7" max="7" width="10.33203125" bestFit="1" customWidth="1"/>
    <col min="8" max="8" width="26.44140625" customWidth="1"/>
    <col min="9" max="9" width="43.5546875" customWidth="1"/>
    <col min="10" max="10" width="13.33203125" customWidth="1"/>
  </cols>
  <sheetData>
    <row r="1" spans="1:9" x14ac:dyDescent="0.3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21</v>
      </c>
      <c r="G1" s="1" t="s">
        <v>34</v>
      </c>
      <c r="H1" t="s">
        <v>39</v>
      </c>
      <c r="I1" t="s">
        <v>40</v>
      </c>
    </row>
    <row r="2" spans="1:9" x14ac:dyDescent="0.3">
      <c r="A2">
        <v>1001</v>
      </c>
      <c r="B2" t="s">
        <v>2</v>
      </c>
      <c r="C2" t="s">
        <v>10</v>
      </c>
      <c r="D2">
        <v>30</v>
      </c>
      <c r="E2" t="s">
        <v>19</v>
      </c>
      <c r="F2">
        <v>1011000</v>
      </c>
      <c r="G2" s="1">
        <v>36933</v>
      </c>
      <c r="H2" t="str">
        <f>CONCATENATE(B2,"  ",C2)</f>
        <v>Jim  Halpert</v>
      </c>
      <c r="I2" t="str">
        <f>CONCATENATE(B2,".",C2,"@gmail.com")</f>
        <v>Jim.Halpert@gmail.com</v>
      </c>
    </row>
    <row r="3" spans="1:9" x14ac:dyDescent="0.3">
      <c r="A3">
        <v>1002</v>
      </c>
      <c r="B3" t="s">
        <v>3</v>
      </c>
      <c r="C3" t="s">
        <v>11</v>
      </c>
      <c r="D3">
        <v>30</v>
      </c>
      <c r="E3" t="s">
        <v>20</v>
      </c>
      <c r="F3">
        <v>5468000</v>
      </c>
      <c r="G3" s="1">
        <v>34770</v>
      </c>
      <c r="H3" t="str">
        <f t="shared" ref="H3:H8" si="0">CONCATENATE(B3,"  ",C3)</f>
        <v>Pam  Beasley</v>
      </c>
      <c r="I3" t="str">
        <f t="shared" ref="I3:I8" si="1">CONCATENATE(B3,".",C3,"@gmail.com")</f>
        <v>Pam.Beasley@gmail.com</v>
      </c>
    </row>
    <row r="4" spans="1:9" x14ac:dyDescent="0.3">
      <c r="A4">
        <v>1003</v>
      </c>
      <c r="B4" t="s">
        <v>4</v>
      </c>
      <c r="C4" t="s">
        <v>12</v>
      </c>
      <c r="D4">
        <v>29</v>
      </c>
      <c r="E4" t="s">
        <v>19</v>
      </c>
      <c r="F4">
        <v>32650</v>
      </c>
      <c r="G4" s="1">
        <v>35036</v>
      </c>
      <c r="H4" t="str">
        <f t="shared" si="0"/>
        <v>Dwight  Schrute</v>
      </c>
      <c r="I4" t="str">
        <f t="shared" si="1"/>
        <v>Dwight.Schrute@gmail.com</v>
      </c>
    </row>
    <row r="5" spans="1:9" x14ac:dyDescent="0.3">
      <c r="A5">
        <v>1004</v>
      </c>
      <c r="B5" t="s">
        <v>5</v>
      </c>
      <c r="C5" t="s">
        <v>13</v>
      </c>
      <c r="D5">
        <v>31</v>
      </c>
      <c r="E5" t="s">
        <v>20</v>
      </c>
      <c r="F5">
        <v>6998</v>
      </c>
      <c r="G5" s="1">
        <v>34822</v>
      </c>
      <c r="H5" t="str">
        <f t="shared" si="0"/>
        <v>Angela  Flenderson</v>
      </c>
      <c r="I5" t="str">
        <f t="shared" si="1"/>
        <v>Angela.Flenderson@gmail.com</v>
      </c>
    </row>
    <row r="6" spans="1:9" x14ac:dyDescent="0.3">
      <c r="A6">
        <v>1005</v>
      </c>
      <c r="B6" t="s">
        <v>6</v>
      </c>
      <c r="C6" t="s">
        <v>14</v>
      </c>
      <c r="D6">
        <v>32</v>
      </c>
      <c r="E6" t="s">
        <v>19</v>
      </c>
      <c r="F6">
        <v>669876</v>
      </c>
      <c r="G6" s="1">
        <v>5</v>
      </c>
      <c r="H6" t="str">
        <f t="shared" si="0"/>
        <v>Toby  Scott</v>
      </c>
      <c r="I6" t="str">
        <f>CONCATENATE(B6,".",C6,"@gmail.com")</f>
        <v>Toby.Scott@gmail.com</v>
      </c>
    </row>
    <row r="7" spans="1:9" x14ac:dyDescent="0.3">
      <c r="A7">
        <v>1006</v>
      </c>
      <c r="B7" t="s">
        <v>7</v>
      </c>
      <c r="C7" t="s">
        <v>15</v>
      </c>
      <c r="D7">
        <v>35</v>
      </c>
      <c r="E7" t="s">
        <v>19</v>
      </c>
      <c r="F7">
        <v>559623</v>
      </c>
      <c r="G7" s="1">
        <v>6</v>
      </c>
      <c r="H7" t="str">
        <f t="shared" si="0"/>
        <v>Meredith  Palmer</v>
      </c>
      <c r="I7" t="str">
        <f t="shared" si="1"/>
        <v>Meredith.Palmer@gmail.com</v>
      </c>
    </row>
    <row r="8" spans="1:9" x14ac:dyDescent="0.3">
      <c r="A8">
        <v>1007</v>
      </c>
      <c r="B8" t="s">
        <v>8</v>
      </c>
      <c r="C8" t="s">
        <v>16</v>
      </c>
      <c r="D8">
        <v>32</v>
      </c>
      <c r="E8" t="s">
        <v>20</v>
      </c>
      <c r="F8">
        <v>566566</v>
      </c>
      <c r="G8" s="1">
        <v>8</v>
      </c>
      <c r="H8" t="str">
        <f t="shared" si="0"/>
        <v>Stanley  Hudson</v>
      </c>
      <c r="I8" t="str">
        <f t="shared" si="1"/>
        <v>Stanley.Hudson@gmail.com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7C57D-E049-4128-8A15-82BC115372BD}">
  <dimension ref="A1:K9"/>
  <sheetViews>
    <sheetView workbookViewId="0">
      <selection activeCell="G1" sqref="G1:H8"/>
    </sheetView>
  </sheetViews>
  <sheetFormatPr defaultRowHeight="14.4" x14ac:dyDescent="0.3"/>
  <cols>
    <col min="7" max="8" width="14.77734375" customWidth="1"/>
    <col min="9" max="9" width="22" customWidth="1"/>
    <col min="10" max="10" width="18.88671875" customWidth="1"/>
    <col min="11" max="11" width="21.5546875" customWidth="1"/>
  </cols>
  <sheetData>
    <row r="1" spans="1:11" x14ac:dyDescent="0.3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21</v>
      </c>
      <c r="G1" s="1" t="s">
        <v>34</v>
      </c>
      <c r="H1" s="1" t="s">
        <v>44</v>
      </c>
      <c r="I1" t="s">
        <v>41</v>
      </c>
      <c r="J1" t="s">
        <v>42</v>
      </c>
      <c r="K1" t="s">
        <v>43</v>
      </c>
    </row>
    <row r="2" spans="1:11" x14ac:dyDescent="0.3">
      <c r="A2">
        <v>1001</v>
      </c>
      <c r="B2" t="s">
        <v>2</v>
      </c>
      <c r="C2" t="s">
        <v>10</v>
      </c>
      <c r="D2">
        <v>30</v>
      </c>
      <c r="E2" t="s">
        <v>19</v>
      </c>
      <c r="F2">
        <v>1011000</v>
      </c>
      <c r="G2" s="1">
        <v>36933</v>
      </c>
      <c r="H2" s="1" t="str" cm="1">
        <f t="array" ref="H2:H8">TEXT(G2:G8,"dd/mm/yyyy")</f>
        <v>11/02/2001</v>
      </c>
      <c r="I2" s="1" t="str" cm="1">
        <f t="array" ref="I2:I8">SUBSTITUTE(_xlfn.ANCHORARRAY(H2),"/","-",1)</f>
        <v>11-02/2001</v>
      </c>
      <c r="J2" t="str" cm="1">
        <f t="array" ref="J2:J8">SUBSTITUTE(_xlfn.ANCHORARRAY(H2),"/","-",2)</f>
        <v>11/02-2001</v>
      </c>
      <c r="K2" s="3" t="str" cm="1">
        <f t="array" ref="K2:K8">SUBSTITUTE(_xlfn.ANCHORARRAY(H2),"/","-")</f>
        <v>11-02-2001</v>
      </c>
    </row>
    <row r="3" spans="1:11" x14ac:dyDescent="0.3">
      <c r="A3">
        <v>1002</v>
      </c>
      <c r="B3" t="s">
        <v>3</v>
      </c>
      <c r="C3" t="s">
        <v>11</v>
      </c>
      <c r="D3">
        <v>30</v>
      </c>
      <c r="E3" t="s">
        <v>20</v>
      </c>
      <c r="F3">
        <v>5468000</v>
      </c>
      <c r="G3" s="1">
        <v>34770</v>
      </c>
      <c r="H3" s="1" t="str">
        <v>12/03/1995</v>
      </c>
      <c r="I3" s="1" t="str">
        <v>12-03/1995</v>
      </c>
      <c r="J3" t="str">
        <v>12/03-1995</v>
      </c>
      <c r="K3" s="3" t="str">
        <v>12-03-1995</v>
      </c>
    </row>
    <row r="4" spans="1:11" x14ac:dyDescent="0.3">
      <c r="A4">
        <v>1003</v>
      </c>
      <c r="B4" t="s">
        <v>4</v>
      </c>
      <c r="C4" t="s">
        <v>12</v>
      </c>
      <c r="D4">
        <v>29</v>
      </c>
      <c r="E4" t="s">
        <v>19</v>
      </c>
      <c r="F4">
        <v>32650</v>
      </c>
      <c r="G4" s="1">
        <v>35036</v>
      </c>
      <c r="H4" s="1" t="str">
        <v>03/12/1995</v>
      </c>
      <c r="I4" s="1" t="str">
        <v>03-12/1995</v>
      </c>
      <c r="J4" t="str">
        <v>03/12-1995</v>
      </c>
      <c r="K4" s="3" t="str">
        <v>03-12-1995</v>
      </c>
    </row>
    <row r="5" spans="1:11" x14ac:dyDescent="0.3">
      <c r="A5">
        <v>1004</v>
      </c>
      <c r="B5" t="s">
        <v>5</v>
      </c>
      <c r="C5" t="s">
        <v>13</v>
      </c>
      <c r="D5">
        <v>31</v>
      </c>
      <c r="E5" t="s">
        <v>20</v>
      </c>
      <c r="F5">
        <v>6998</v>
      </c>
      <c r="G5" s="1">
        <v>34822</v>
      </c>
      <c r="H5" s="1" t="str">
        <v>03/05/1995</v>
      </c>
      <c r="I5" s="1" t="str">
        <v>03-05/1995</v>
      </c>
      <c r="J5" t="str">
        <v>03/05-1995</v>
      </c>
      <c r="K5" s="3" t="str">
        <v>03-05-1995</v>
      </c>
    </row>
    <row r="6" spans="1:11" x14ac:dyDescent="0.3">
      <c r="A6">
        <v>1005</v>
      </c>
      <c r="B6" t="s">
        <v>6</v>
      </c>
      <c r="C6" t="s">
        <v>14</v>
      </c>
      <c r="D6">
        <v>32</v>
      </c>
      <c r="E6" t="s">
        <v>19</v>
      </c>
      <c r="F6">
        <v>669876</v>
      </c>
      <c r="G6" s="1">
        <v>5</v>
      </c>
      <c r="H6" s="1" t="str">
        <v>05/01/1900</v>
      </c>
      <c r="I6" s="1" t="str">
        <v>05-01/1900</v>
      </c>
      <c r="J6" t="str">
        <v>05/01-1900</v>
      </c>
      <c r="K6" s="3" t="str">
        <v>05-01-1900</v>
      </c>
    </row>
    <row r="7" spans="1:11" x14ac:dyDescent="0.3">
      <c r="A7">
        <v>1006</v>
      </c>
      <c r="B7" t="s">
        <v>7</v>
      </c>
      <c r="C7" t="s">
        <v>15</v>
      </c>
      <c r="D7">
        <v>35</v>
      </c>
      <c r="E7" t="s">
        <v>19</v>
      </c>
      <c r="F7">
        <v>559623</v>
      </c>
      <c r="G7" s="1">
        <v>6</v>
      </c>
      <c r="H7" s="1" t="str">
        <v>06/01/1900</v>
      </c>
      <c r="I7" s="1" t="str">
        <v>06-01/1900</v>
      </c>
      <c r="J7" t="str">
        <v>06/01-1900</v>
      </c>
      <c r="K7" s="3" t="str">
        <v>06-01-1900</v>
      </c>
    </row>
    <row r="8" spans="1:11" x14ac:dyDescent="0.3">
      <c r="A8">
        <v>1007</v>
      </c>
      <c r="B8" t="s">
        <v>8</v>
      </c>
      <c r="C8" t="s">
        <v>16</v>
      </c>
      <c r="D8">
        <v>32</v>
      </c>
      <c r="E8" t="s">
        <v>20</v>
      </c>
      <c r="F8">
        <v>566566</v>
      </c>
      <c r="G8" s="1">
        <v>8</v>
      </c>
      <c r="H8" s="1" t="str">
        <v>08/01/1900</v>
      </c>
      <c r="I8" s="1" t="str">
        <v>08-01/1900</v>
      </c>
      <c r="J8" t="str">
        <v>08/01-1900</v>
      </c>
      <c r="K8" s="3" t="str">
        <v>08-01-1900</v>
      </c>
    </row>
    <row r="9" spans="1:11" x14ac:dyDescent="0.3">
      <c r="K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EDC8-B04D-44AA-A6B1-8E62597C0CA8}">
  <dimension ref="A1:K8"/>
  <sheetViews>
    <sheetView workbookViewId="0">
      <selection sqref="A1:H8"/>
    </sheetView>
  </sheetViews>
  <sheetFormatPr defaultRowHeight="14.4" x14ac:dyDescent="0.3"/>
  <cols>
    <col min="7" max="7" width="10.33203125" bestFit="1" customWidth="1"/>
    <col min="8" max="8" width="17.21875" customWidth="1"/>
  </cols>
  <sheetData>
    <row r="1" spans="1:11" x14ac:dyDescent="0.3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21</v>
      </c>
      <c r="G1" s="1" t="s">
        <v>34</v>
      </c>
      <c r="H1" s="1" t="s">
        <v>44</v>
      </c>
      <c r="I1" t="s">
        <v>45</v>
      </c>
      <c r="J1" t="s">
        <v>46</v>
      </c>
      <c r="K1" t="s">
        <v>47</v>
      </c>
    </row>
    <row r="2" spans="1:11" x14ac:dyDescent="0.3">
      <c r="A2">
        <v>1001</v>
      </c>
      <c r="B2" t="s">
        <v>2</v>
      </c>
      <c r="C2" t="s">
        <v>10</v>
      </c>
      <c r="D2">
        <v>30</v>
      </c>
      <c r="E2" t="s">
        <v>19</v>
      </c>
      <c r="F2">
        <v>1011000</v>
      </c>
      <c r="G2" s="1">
        <v>36933</v>
      </c>
      <c r="H2" s="1" t="str" cm="1">
        <f t="array" ref="H2:H8">TEXT(G2:G8,"dd/mm/yyyy")</f>
        <v>11/02/2001</v>
      </c>
      <c r="I2">
        <f>SUM(F2:F8)</f>
        <v>8314713</v>
      </c>
      <c r="J2">
        <f>SUMIF(F2:F8,"&gt;50000")</f>
        <v>8275065</v>
      </c>
      <c r="K2">
        <f>SUMIFS(F2:F8,E2:E8,"Female",D2:D8,"&gt;30")</f>
        <v>573564</v>
      </c>
    </row>
    <row r="3" spans="1:11" x14ac:dyDescent="0.3">
      <c r="A3">
        <v>1002</v>
      </c>
      <c r="B3" t="s">
        <v>3</v>
      </c>
      <c r="C3" t="s">
        <v>11</v>
      </c>
      <c r="D3">
        <v>30</v>
      </c>
      <c r="E3" t="s">
        <v>20</v>
      </c>
      <c r="F3">
        <v>5468000</v>
      </c>
      <c r="G3" s="1">
        <v>34770</v>
      </c>
      <c r="H3" s="1" t="str">
        <v>12/03/1995</v>
      </c>
    </row>
    <row r="4" spans="1:11" x14ac:dyDescent="0.3">
      <c r="A4">
        <v>1003</v>
      </c>
      <c r="B4" t="s">
        <v>4</v>
      </c>
      <c r="C4" t="s">
        <v>12</v>
      </c>
      <c r="D4">
        <v>29</v>
      </c>
      <c r="E4" t="s">
        <v>19</v>
      </c>
      <c r="F4">
        <v>32650</v>
      </c>
      <c r="G4" s="1">
        <v>35036</v>
      </c>
      <c r="H4" s="1" t="str">
        <v>03/12/1995</v>
      </c>
    </row>
    <row r="5" spans="1:11" x14ac:dyDescent="0.3">
      <c r="A5">
        <v>1004</v>
      </c>
      <c r="B5" t="s">
        <v>5</v>
      </c>
      <c r="C5" t="s">
        <v>13</v>
      </c>
      <c r="D5">
        <v>31</v>
      </c>
      <c r="E5" t="s">
        <v>20</v>
      </c>
      <c r="F5">
        <v>6998</v>
      </c>
      <c r="G5" s="1">
        <v>34822</v>
      </c>
      <c r="H5" s="1" t="str">
        <v>03/05/1995</v>
      </c>
    </row>
    <row r="6" spans="1:11" x14ac:dyDescent="0.3">
      <c r="A6">
        <v>1005</v>
      </c>
      <c r="B6" t="s">
        <v>6</v>
      </c>
      <c r="C6" t="s">
        <v>14</v>
      </c>
      <c r="D6">
        <v>32</v>
      </c>
      <c r="E6" t="s">
        <v>19</v>
      </c>
      <c r="F6">
        <v>669876</v>
      </c>
      <c r="G6" s="1">
        <v>5</v>
      </c>
      <c r="H6" s="1" t="str">
        <v>05/01/1900</v>
      </c>
    </row>
    <row r="7" spans="1:11" x14ac:dyDescent="0.3">
      <c r="A7">
        <v>1006</v>
      </c>
      <c r="B7" t="s">
        <v>7</v>
      </c>
      <c r="C7" t="s">
        <v>15</v>
      </c>
      <c r="D7">
        <v>35</v>
      </c>
      <c r="E7" t="s">
        <v>19</v>
      </c>
      <c r="F7">
        <v>559623</v>
      </c>
      <c r="G7" s="1">
        <v>6</v>
      </c>
      <c r="H7" s="1" t="str">
        <v>06/01/1900</v>
      </c>
    </row>
    <row r="8" spans="1:11" x14ac:dyDescent="0.3">
      <c r="A8">
        <v>1007</v>
      </c>
      <c r="B8" t="s">
        <v>8</v>
      </c>
      <c r="C8" t="s">
        <v>16</v>
      </c>
      <c r="D8">
        <v>32</v>
      </c>
      <c r="E8" t="s">
        <v>20</v>
      </c>
      <c r="F8">
        <v>566566</v>
      </c>
      <c r="G8" s="1">
        <v>8</v>
      </c>
      <c r="H8" s="1" t="str">
        <v>08/01/1900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E2A1-E632-4957-95C4-C6911770FBBA}">
  <dimension ref="A1:K8"/>
  <sheetViews>
    <sheetView workbookViewId="0">
      <selection sqref="A1:H8"/>
    </sheetView>
  </sheetViews>
  <sheetFormatPr defaultRowHeight="14.4" x14ac:dyDescent="0.3"/>
  <cols>
    <col min="7" max="7" width="10.33203125" bestFit="1" customWidth="1"/>
    <col min="8" max="8" width="16.6640625" customWidth="1"/>
  </cols>
  <sheetData>
    <row r="1" spans="1:11" x14ac:dyDescent="0.3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21</v>
      </c>
      <c r="G1" s="1" t="s">
        <v>34</v>
      </c>
      <c r="H1" s="1" t="s">
        <v>44</v>
      </c>
      <c r="I1" t="s">
        <v>48</v>
      </c>
      <c r="J1" t="s">
        <v>49</v>
      </c>
      <c r="K1" t="s">
        <v>50</v>
      </c>
    </row>
    <row r="2" spans="1:11" x14ac:dyDescent="0.3">
      <c r="A2">
        <v>1001</v>
      </c>
      <c r="B2" t="s">
        <v>2</v>
      </c>
      <c r="C2" t="s">
        <v>10</v>
      </c>
      <c r="D2">
        <v>30</v>
      </c>
      <c r="E2" t="s">
        <v>19</v>
      </c>
      <c r="F2">
        <v>1011000</v>
      </c>
      <c r="G2" s="1">
        <v>36933</v>
      </c>
      <c r="H2" s="1" t="str" cm="1">
        <f t="array" ref="H2:H8">TEXT(G2:G8,"dd/mm/yyyy")</f>
        <v>11/02/2001</v>
      </c>
      <c r="I2">
        <f>COUNT(F2:F8)</f>
        <v>7</v>
      </c>
      <c r="J2">
        <f>COUNTIF(F2:F8,"&gt;50000")</f>
        <v>5</v>
      </c>
      <c r="K2">
        <f>COUNTIFS(E2:E8,"male",A2:A8,"&gt;1005")</f>
        <v>1</v>
      </c>
    </row>
    <row r="3" spans="1:11" x14ac:dyDescent="0.3">
      <c r="A3">
        <v>1002</v>
      </c>
      <c r="B3" t="s">
        <v>3</v>
      </c>
      <c r="C3" t="s">
        <v>11</v>
      </c>
      <c r="D3">
        <v>30</v>
      </c>
      <c r="E3" t="s">
        <v>20</v>
      </c>
      <c r="F3">
        <v>5468000</v>
      </c>
      <c r="G3" s="1">
        <v>34770</v>
      </c>
      <c r="H3" s="1" t="str">
        <v>12/03/1995</v>
      </c>
    </row>
    <row r="4" spans="1:11" x14ac:dyDescent="0.3">
      <c r="A4">
        <v>1003</v>
      </c>
      <c r="B4" t="s">
        <v>4</v>
      </c>
      <c r="C4" t="s">
        <v>12</v>
      </c>
      <c r="D4">
        <v>29</v>
      </c>
      <c r="E4" t="s">
        <v>19</v>
      </c>
      <c r="F4">
        <v>32650</v>
      </c>
      <c r="G4" s="1">
        <v>35036</v>
      </c>
      <c r="H4" s="1" t="str">
        <v>03/12/1995</v>
      </c>
    </row>
    <row r="5" spans="1:11" x14ac:dyDescent="0.3">
      <c r="A5">
        <v>1004</v>
      </c>
      <c r="B5" t="s">
        <v>5</v>
      </c>
      <c r="C5" t="s">
        <v>13</v>
      </c>
      <c r="D5">
        <v>31</v>
      </c>
      <c r="E5" t="s">
        <v>20</v>
      </c>
      <c r="F5">
        <v>6998</v>
      </c>
      <c r="G5" s="1">
        <v>34822</v>
      </c>
      <c r="H5" s="1" t="str">
        <v>03/05/1995</v>
      </c>
    </row>
    <row r="6" spans="1:11" x14ac:dyDescent="0.3">
      <c r="A6">
        <v>1005</v>
      </c>
      <c r="B6" t="s">
        <v>6</v>
      </c>
      <c r="C6" t="s">
        <v>14</v>
      </c>
      <c r="D6">
        <v>32</v>
      </c>
      <c r="E6" t="s">
        <v>19</v>
      </c>
      <c r="F6">
        <v>669876</v>
      </c>
      <c r="G6" s="1">
        <v>5</v>
      </c>
      <c r="H6" s="1" t="str">
        <v>05/01/1900</v>
      </c>
    </row>
    <row r="7" spans="1:11" x14ac:dyDescent="0.3">
      <c r="A7">
        <v>1006</v>
      </c>
      <c r="B7" t="s">
        <v>7</v>
      </c>
      <c r="C7" t="s">
        <v>15</v>
      </c>
      <c r="D7">
        <v>35</v>
      </c>
      <c r="E7" t="s">
        <v>19</v>
      </c>
      <c r="F7">
        <v>559623</v>
      </c>
      <c r="G7" s="1">
        <v>6</v>
      </c>
      <c r="H7" s="1" t="str">
        <v>06/01/1900</v>
      </c>
    </row>
    <row r="8" spans="1:11" x14ac:dyDescent="0.3">
      <c r="A8">
        <v>1007</v>
      </c>
      <c r="B8" t="s">
        <v>8</v>
      </c>
      <c r="C8" t="s">
        <v>16</v>
      </c>
      <c r="D8">
        <v>32</v>
      </c>
      <c r="E8" t="s">
        <v>20</v>
      </c>
      <c r="F8">
        <v>566566</v>
      </c>
      <c r="G8" s="1">
        <v>8</v>
      </c>
      <c r="H8" s="1" t="str">
        <v>08/01/1900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547F2-C8A8-4505-A6CF-85682C13A02E}">
  <dimension ref="A1:L8"/>
  <sheetViews>
    <sheetView workbookViewId="0">
      <selection activeCell="G1" sqref="G1:J8"/>
    </sheetView>
  </sheetViews>
  <sheetFormatPr defaultRowHeight="14.4" x14ac:dyDescent="0.3"/>
  <cols>
    <col min="22" max="22" width="10.33203125" bestFit="1" customWidth="1"/>
    <col min="23" max="23" width="19.5546875" customWidth="1"/>
    <col min="24" max="24" width="10.33203125" bestFit="1" customWidth="1"/>
    <col min="25" max="25" width="14.5546875" customWidth="1"/>
    <col min="27" max="27" width="18" customWidth="1"/>
  </cols>
  <sheetData>
    <row r="1" spans="1:12" x14ac:dyDescent="0.3">
      <c r="A1" t="s">
        <v>0</v>
      </c>
      <c r="B1" t="s">
        <v>1</v>
      </c>
      <c r="C1" t="s">
        <v>9</v>
      </c>
      <c r="D1" t="s">
        <v>17</v>
      </c>
      <c r="E1" t="s">
        <v>18</v>
      </c>
      <c r="F1" t="s">
        <v>21</v>
      </c>
      <c r="G1" s="1" t="s">
        <v>52</v>
      </c>
      <c r="H1" s="1" t="s">
        <v>44</v>
      </c>
      <c r="I1" t="s">
        <v>51</v>
      </c>
      <c r="J1" t="s">
        <v>44</v>
      </c>
      <c r="K1" t="s">
        <v>53</v>
      </c>
      <c r="L1" t="s">
        <v>54</v>
      </c>
    </row>
    <row r="2" spans="1:12" x14ac:dyDescent="0.3">
      <c r="A2">
        <v>1001</v>
      </c>
      <c r="B2" t="s">
        <v>2</v>
      </c>
      <c r="C2" t="s">
        <v>10</v>
      </c>
      <c r="D2">
        <v>30</v>
      </c>
      <c r="E2" t="s">
        <v>19</v>
      </c>
      <c r="F2">
        <v>1011000</v>
      </c>
      <c r="G2" s="1">
        <v>36933</v>
      </c>
      <c r="H2" s="1" t="str" cm="1">
        <f t="array" ref="H2:H8">TEXT(G2:G8,"dd/mm/yyyy")</f>
        <v>11/02/2001</v>
      </c>
      <c r="I2" s="1">
        <v>4545</v>
      </c>
      <c r="J2" t="str" cm="1">
        <f t="array" ref="J2:J8">TEXT(I2:I8,"dd/mm/yyyy")</f>
        <v>10/06/1912</v>
      </c>
      <c r="K2">
        <f>_xlfn.DAYS(G2,I2)</f>
        <v>32388</v>
      </c>
      <c r="L2">
        <f>NETWORKDAYS(H2,J2)</f>
        <v>-23135</v>
      </c>
    </row>
    <row r="3" spans="1:12" x14ac:dyDescent="0.3">
      <c r="A3">
        <v>1002</v>
      </c>
      <c r="B3" t="s">
        <v>3</v>
      </c>
      <c r="C3" t="s">
        <v>11</v>
      </c>
      <c r="D3">
        <v>30</v>
      </c>
      <c r="E3" t="s">
        <v>20</v>
      </c>
      <c r="F3">
        <v>5468000</v>
      </c>
      <c r="G3" s="1">
        <v>34770</v>
      </c>
      <c r="H3" s="1" t="str">
        <v>12/03/1995</v>
      </c>
      <c r="I3" s="1">
        <v>26450</v>
      </c>
      <c r="J3" t="str">
        <v>31/05/1972</v>
      </c>
      <c r="K3">
        <f t="shared" ref="K3:K8" si="0">_xlfn.DAYS(G3,I3)</f>
        <v>8320</v>
      </c>
      <c r="L3">
        <f t="shared" ref="L3:L8" si="1">NETWORKDAYS(H3,J3)</f>
        <v>-5943</v>
      </c>
    </row>
    <row r="4" spans="1:12" x14ac:dyDescent="0.3">
      <c r="A4">
        <v>1003</v>
      </c>
      <c r="B4" t="s">
        <v>4</v>
      </c>
      <c r="C4" t="s">
        <v>12</v>
      </c>
      <c r="D4">
        <v>29</v>
      </c>
      <c r="E4" t="s">
        <v>19</v>
      </c>
      <c r="F4">
        <v>32650</v>
      </c>
      <c r="G4" s="1">
        <v>35036</v>
      </c>
      <c r="H4" s="1" t="str">
        <v>03/12/1995</v>
      </c>
      <c r="I4" s="1">
        <v>5155</v>
      </c>
      <c r="J4" t="str">
        <v>10/02/1914</v>
      </c>
      <c r="K4">
        <f t="shared" si="0"/>
        <v>29881</v>
      </c>
      <c r="L4">
        <f t="shared" si="1"/>
        <v>-21344</v>
      </c>
    </row>
    <row r="5" spans="1:12" x14ac:dyDescent="0.3">
      <c r="A5">
        <v>1004</v>
      </c>
      <c r="B5" t="s">
        <v>5</v>
      </c>
      <c r="C5" t="s">
        <v>13</v>
      </c>
      <c r="D5">
        <v>31</v>
      </c>
      <c r="E5" t="s">
        <v>20</v>
      </c>
      <c r="F5">
        <v>6998</v>
      </c>
      <c r="G5" s="1">
        <v>34822</v>
      </c>
      <c r="H5" s="1" t="str">
        <v>03/05/1995</v>
      </c>
      <c r="I5" s="1">
        <v>645</v>
      </c>
      <c r="J5" t="str">
        <v>06/10/1901</v>
      </c>
      <c r="K5">
        <f t="shared" si="0"/>
        <v>34177</v>
      </c>
      <c r="L5">
        <f t="shared" si="1"/>
        <v>-24413</v>
      </c>
    </row>
    <row r="6" spans="1:12" x14ac:dyDescent="0.3">
      <c r="A6">
        <v>1005</v>
      </c>
      <c r="B6" t="s">
        <v>6</v>
      </c>
      <c r="C6" t="s">
        <v>14</v>
      </c>
      <c r="D6">
        <v>32</v>
      </c>
      <c r="E6" t="s">
        <v>19</v>
      </c>
      <c r="F6">
        <v>669876</v>
      </c>
      <c r="G6" s="1">
        <v>5</v>
      </c>
      <c r="H6" s="1" t="str">
        <v>05/01/1900</v>
      </c>
      <c r="I6" s="1">
        <v>6566</v>
      </c>
      <c r="J6" t="str">
        <v>22/12/1917</v>
      </c>
      <c r="K6">
        <f t="shared" si="0"/>
        <v>-6561</v>
      </c>
      <c r="L6">
        <f t="shared" si="1"/>
        <v>4687</v>
      </c>
    </row>
    <row r="7" spans="1:12" x14ac:dyDescent="0.3">
      <c r="A7">
        <v>1006</v>
      </c>
      <c r="B7" t="s">
        <v>7</v>
      </c>
      <c r="C7" t="s">
        <v>15</v>
      </c>
      <c r="D7">
        <v>35</v>
      </c>
      <c r="E7" t="s">
        <v>19</v>
      </c>
      <c r="F7">
        <v>559623</v>
      </c>
      <c r="G7" s="1">
        <v>6</v>
      </c>
      <c r="H7" s="1" t="str">
        <v>06/01/1900</v>
      </c>
      <c r="I7" s="1">
        <v>2151</v>
      </c>
      <c r="J7" t="str">
        <v>20/11/1905</v>
      </c>
      <c r="K7">
        <f t="shared" si="0"/>
        <v>-2145</v>
      </c>
      <c r="L7">
        <f t="shared" si="1"/>
        <v>1532</v>
      </c>
    </row>
    <row r="8" spans="1:12" x14ac:dyDescent="0.3">
      <c r="A8">
        <v>1007</v>
      </c>
      <c r="B8" t="s">
        <v>8</v>
      </c>
      <c r="C8" t="s">
        <v>16</v>
      </c>
      <c r="D8">
        <v>32</v>
      </c>
      <c r="E8" t="s">
        <v>20</v>
      </c>
      <c r="F8">
        <v>566566</v>
      </c>
      <c r="G8" s="1">
        <v>8</v>
      </c>
      <c r="H8" s="1" t="str">
        <v>08/01/1900</v>
      </c>
      <c r="I8" s="1">
        <v>55421</v>
      </c>
      <c r="J8" t="str">
        <v>25/09/2051</v>
      </c>
      <c r="K8">
        <f t="shared" si="0"/>
        <v>-55413</v>
      </c>
      <c r="L8">
        <f t="shared" si="1"/>
        <v>39581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D32A-B15C-417C-86A4-A44888E990AE}">
  <dimension ref="A1:O8"/>
  <sheetViews>
    <sheetView workbookViewId="0">
      <selection sqref="A1:A4"/>
    </sheetView>
  </sheetViews>
  <sheetFormatPr defaultRowHeight="14.4" x14ac:dyDescent="0.3"/>
  <cols>
    <col min="1" max="1" width="16.21875" customWidth="1"/>
    <col min="2" max="2" width="22.6640625" customWidth="1"/>
    <col min="14" max="14" width="22.77734375" customWidth="1"/>
    <col min="15" max="15" width="26.88671875" customWidth="1"/>
  </cols>
  <sheetData>
    <row r="1" spans="1:15" x14ac:dyDescent="0.3">
      <c r="A1" t="s">
        <v>57</v>
      </c>
      <c r="B1" t="s">
        <v>58</v>
      </c>
      <c r="G1" t="s">
        <v>0</v>
      </c>
      <c r="H1" t="s">
        <v>1</v>
      </c>
      <c r="I1" t="s">
        <v>9</v>
      </c>
      <c r="J1" t="s">
        <v>17</v>
      </c>
      <c r="K1" t="s">
        <v>18</v>
      </c>
      <c r="L1" t="s">
        <v>21</v>
      </c>
      <c r="M1" s="1" t="s">
        <v>34</v>
      </c>
      <c r="N1" t="s">
        <v>55</v>
      </c>
      <c r="O1" t="s">
        <v>56</v>
      </c>
    </row>
    <row r="2" spans="1:15" x14ac:dyDescent="0.3">
      <c r="A2" t="s">
        <v>59</v>
      </c>
      <c r="B2" t="str">
        <f>_xlfn.XLOOKUP(A2,N2:N8,O2:O8)</f>
        <v>Jim.Halpert@gmail.com</v>
      </c>
      <c r="G2">
        <v>1001</v>
      </c>
      <c r="H2" t="s">
        <v>2</v>
      </c>
      <c r="I2" t="s">
        <v>10</v>
      </c>
      <c r="J2">
        <v>30</v>
      </c>
      <c r="K2" t="s">
        <v>19</v>
      </c>
      <c r="L2">
        <v>1011000</v>
      </c>
      <c r="M2" s="1">
        <v>36933</v>
      </c>
      <c r="N2" t="str">
        <f>CONCATENATE(H2," ",I2)</f>
        <v>Jim Halpert</v>
      </c>
      <c r="O2" t="str">
        <f>CONCATENATE(H2,".",I2,"@gmail.com")</f>
        <v>Jim.Halpert@gmail.com</v>
      </c>
    </row>
    <row r="3" spans="1:15" x14ac:dyDescent="0.3">
      <c r="A3" t="s">
        <v>60</v>
      </c>
      <c r="B3" t="str">
        <f t="shared" ref="B3:B4" si="0">_xlfn.XLOOKUP(A3,N3:N9,O3:O9)</f>
        <v>Stanley.Hudson@gmail.com</v>
      </c>
      <c r="G3">
        <v>1002</v>
      </c>
      <c r="H3" t="s">
        <v>3</v>
      </c>
      <c r="I3" t="s">
        <v>11</v>
      </c>
      <c r="J3">
        <v>30</v>
      </c>
      <c r="K3" t="s">
        <v>20</v>
      </c>
      <c r="L3">
        <v>5468000</v>
      </c>
      <c r="M3" s="1">
        <v>34770</v>
      </c>
      <c r="N3" t="str">
        <f t="shared" ref="N3:N8" si="1">CONCATENATE(H3," ",I3)</f>
        <v>Pam Beasley</v>
      </c>
      <c r="O3" t="str">
        <f t="shared" ref="O3:O8" si="2">CONCATENATE(H3,".",I3,"@gmail.com")</f>
        <v>Pam.Beasley@gmail.com</v>
      </c>
    </row>
    <row r="4" spans="1:15" x14ac:dyDescent="0.3">
      <c r="A4" t="s">
        <v>61</v>
      </c>
      <c r="B4" t="str">
        <f t="shared" si="0"/>
        <v>Toby.Scott@gmail.com</v>
      </c>
      <c r="G4">
        <v>1003</v>
      </c>
      <c r="H4" t="s">
        <v>4</v>
      </c>
      <c r="I4" t="s">
        <v>12</v>
      </c>
      <c r="J4">
        <v>29</v>
      </c>
      <c r="K4" t="s">
        <v>19</v>
      </c>
      <c r="L4">
        <v>32650</v>
      </c>
      <c r="M4" s="1">
        <v>35036</v>
      </c>
      <c r="N4" t="str">
        <f t="shared" si="1"/>
        <v>Dwight Schrute</v>
      </c>
      <c r="O4" t="str">
        <f t="shared" si="2"/>
        <v>Dwight.Schrute@gmail.com</v>
      </c>
    </row>
    <row r="5" spans="1:15" x14ac:dyDescent="0.3">
      <c r="G5">
        <v>1004</v>
      </c>
      <c r="H5" t="s">
        <v>5</v>
      </c>
      <c r="I5" t="s">
        <v>13</v>
      </c>
      <c r="J5">
        <v>31</v>
      </c>
      <c r="K5" t="s">
        <v>20</v>
      </c>
      <c r="L5">
        <v>6998</v>
      </c>
      <c r="M5" s="1">
        <v>34822</v>
      </c>
      <c r="N5" t="str">
        <f t="shared" si="1"/>
        <v>Angela Flenderson</v>
      </c>
      <c r="O5" t="str">
        <f t="shared" si="2"/>
        <v>Angela.Flenderson@gmail.com</v>
      </c>
    </row>
    <row r="6" spans="1:15" x14ac:dyDescent="0.3">
      <c r="G6">
        <v>1005</v>
      </c>
      <c r="H6" t="s">
        <v>6</v>
      </c>
      <c r="I6" t="s">
        <v>14</v>
      </c>
      <c r="J6">
        <v>32</v>
      </c>
      <c r="K6" t="s">
        <v>19</v>
      </c>
      <c r="L6">
        <v>669876</v>
      </c>
      <c r="M6" s="1">
        <v>5</v>
      </c>
      <c r="N6" t="str">
        <f t="shared" si="1"/>
        <v>Toby Scott</v>
      </c>
      <c r="O6" t="str">
        <f>CONCATENATE(H6,".",I6,"@gmail.com")</f>
        <v>Toby.Scott@gmail.com</v>
      </c>
    </row>
    <row r="7" spans="1:15" x14ac:dyDescent="0.3">
      <c r="G7">
        <v>1006</v>
      </c>
      <c r="H7" t="s">
        <v>7</v>
      </c>
      <c r="I7" t="s">
        <v>15</v>
      </c>
      <c r="J7">
        <v>35</v>
      </c>
      <c r="K7" t="s">
        <v>19</v>
      </c>
      <c r="L7">
        <v>559623</v>
      </c>
      <c r="M7" s="1">
        <v>6</v>
      </c>
      <c r="N7" t="str">
        <f t="shared" si="1"/>
        <v>Meredith Palmer</v>
      </c>
      <c r="O7" t="str">
        <f t="shared" si="2"/>
        <v>Meredith.Palmer@gmail.com</v>
      </c>
    </row>
    <row r="8" spans="1:15" x14ac:dyDescent="0.3">
      <c r="G8">
        <v>1007</v>
      </c>
      <c r="H8" t="s">
        <v>8</v>
      </c>
      <c r="I8" t="s">
        <v>16</v>
      </c>
      <c r="J8">
        <v>32</v>
      </c>
      <c r="K8" t="s">
        <v>20</v>
      </c>
      <c r="L8">
        <v>566566</v>
      </c>
      <c r="M8" s="1">
        <v>8</v>
      </c>
      <c r="N8" t="str">
        <f t="shared" si="1"/>
        <v>Stanley Hudson</v>
      </c>
      <c r="O8" t="str">
        <f t="shared" si="2"/>
        <v>Stanley.Hudson@gmail.com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337A-6745-4587-9F36-3BE299DDF7F2}">
  <dimension ref="A1:S8"/>
  <sheetViews>
    <sheetView workbookViewId="0">
      <selection sqref="A1:A4"/>
    </sheetView>
  </sheetViews>
  <sheetFormatPr defaultRowHeight="14.4" x14ac:dyDescent="0.3"/>
  <cols>
    <col min="1" max="1" width="20" customWidth="1"/>
    <col min="14" max="18" width="19.21875" customWidth="1"/>
    <col min="19" max="19" width="30" customWidth="1"/>
  </cols>
  <sheetData>
    <row r="1" spans="1:19" x14ac:dyDescent="0.3">
      <c r="A1" t="s">
        <v>57</v>
      </c>
      <c r="B1" t="s">
        <v>62</v>
      </c>
      <c r="C1" t="s">
        <v>58</v>
      </c>
      <c r="G1" t="s">
        <v>0</v>
      </c>
      <c r="H1" t="s">
        <v>1</v>
      </c>
      <c r="I1" t="s">
        <v>9</v>
      </c>
      <c r="J1" t="s">
        <v>17</v>
      </c>
      <c r="K1" t="s">
        <v>18</v>
      </c>
      <c r="L1" t="s">
        <v>21</v>
      </c>
      <c r="M1" s="1" t="s">
        <v>34</v>
      </c>
      <c r="N1" t="s">
        <v>55</v>
      </c>
      <c r="O1" s="1" t="s">
        <v>52</v>
      </c>
      <c r="P1" s="1" t="s">
        <v>44</v>
      </c>
      <c r="Q1" t="s">
        <v>51</v>
      </c>
      <c r="R1" t="s">
        <v>44</v>
      </c>
      <c r="S1" t="s">
        <v>56</v>
      </c>
    </row>
    <row r="2" spans="1:19" x14ac:dyDescent="0.3">
      <c r="A2" t="s">
        <v>59</v>
      </c>
      <c r="B2" t="str" cm="1">
        <f t="array" ref="B2:C2">_xlfn.XLOOKUP(A2,N2:N8,R2:S8)</f>
        <v>10/06/1912</v>
      </c>
      <c r="C2" t="str">
        <v>Jim.Halpert@gmail.com</v>
      </c>
      <c r="G2">
        <v>1001</v>
      </c>
      <c r="H2" t="s">
        <v>2</v>
      </c>
      <c r="I2" t="s">
        <v>10</v>
      </c>
      <c r="J2">
        <v>30</v>
      </c>
      <c r="K2" t="s">
        <v>19</v>
      </c>
      <c r="L2">
        <v>1011000</v>
      </c>
      <c r="M2" s="1">
        <v>36933</v>
      </c>
      <c r="N2" t="str">
        <f>CONCATENATE(H2," ",I2)</f>
        <v>Jim Halpert</v>
      </c>
      <c r="O2" s="1">
        <v>36933</v>
      </c>
      <c r="P2" s="1" t="str" cm="1">
        <f t="array" ref="P2:P8">TEXT(O2:O8,"dd/mm/yyyy")</f>
        <v>11/02/2001</v>
      </c>
      <c r="Q2" s="1">
        <v>4545</v>
      </c>
      <c r="R2" t="str" cm="1">
        <f t="array" ref="R2:R8">TEXT(Q2:Q8,"dd/mm/yyyy")</f>
        <v>10/06/1912</v>
      </c>
      <c r="S2" t="str">
        <f>CONCATENATE(H2,".",I2,"@gmail.com")</f>
        <v>Jim.Halpert@gmail.com</v>
      </c>
    </row>
    <row r="3" spans="1:19" x14ac:dyDescent="0.3">
      <c r="A3" t="s">
        <v>60</v>
      </c>
      <c r="B3" t="str" cm="1">
        <f t="array" ref="B3:C3">_xlfn.XLOOKUP(A3,N3:N9,R3:S9)</f>
        <v>25/09/2051</v>
      </c>
      <c r="C3" t="str">
        <v>Stanley.Hudson@gmail.com</v>
      </c>
      <c r="G3">
        <v>1002</v>
      </c>
      <c r="H3" t="s">
        <v>3</v>
      </c>
      <c r="I3" t="s">
        <v>11</v>
      </c>
      <c r="J3">
        <v>30</v>
      </c>
      <c r="K3" t="s">
        <v>20</v>
      </c>
      <c r="L3">
        <v>5468000</v>
      </c>
      <c r="M3" s="1">
        <v>34770</v>
      </c>
      <c r="N3" t="str">
        <f t="shared" ref="N3:N8" si="0">CONCATENATE(H3," ",I3)</f>
        <v>Pam Beasley</v>
      </c>
      <c r="O3" s="1">
        <v>34770</v>
      </c>
      <c r="P3" s="1" t="str">
        <v>12/03/1995</v>
      </c>
      <c r="Q3" s="1">
        <v>26450</v>
      </c>
      <c r="R3" t="str">
        <v>31/05/1972</v>
      </c>
      <c r="S3" t="str">
        <f t="shared" ref="S3:S8" si="1">CONCATENATE(H3,".",I3,"@gmail.com")</f>
        <v>Pam.Beasley@gmail.com</v>
      </c>
    </row>
    <row r="4" spans="1:19" x14ac:dyDescent="0.3">
      <c r="A4" t="s">
        <v>61</v>
      </c>
      <c r="B4" t="str" cm="1">
        <f t="array" ref="B4:C4">_xlfn.XLOOKUP(A4,N4:N10,R4:S10)</f>
        <v>22/12/1917</v>
      </c>
      <c r="C4" t="str">
        <v>Toby.Scott@gmail.com</v>
      </c>
      <c r="G4">
        <v>1003</v>
      </c>
      <c r="H4" t="s">
        <v>4</v>
      </c>
      <c r="I4" t="s">
        <v>12</v>
      </c>
      <c r="J4">
        <v>29</v>
      </c>
      <c r="K4" t="s">
        <v>19</v>
      </c>
      <c r="L4">
        <v>32650</v>
      </c>
      <c r="M4" s="1">
        <v>35036</v>
      </c>
      <c r="N4" t="str">
        <f t="shared" si="0"/>
        <v>Dwight Schrute</v>
      </c>
      <c r="O4" s="1">
        <v>35036</v>
      </c>
      <c r="P4" s="1" t="str">
        <v>03/12/1995</v>
      </c>
      <c r="Q4" s="1">
        <v>5155</v>
      </c>
      <c r="R4" t="str">
        <v>10/02/1914</v>
      </c>
      <c r="S4" t="str">
        <f t="shared" si="1"/>
        <v>Dwight.Schrute@gmail.com</v>
      </c>
    </row>
    <row r="5" spans="1:19" x14ac:dyDescent="0.3">
      <c r="G5">
        <v>1004</v>
      </c>
      <c r="H5" t="s">
        <v>5</v>
      </c>
      <c r="I5" t="s">
        <v>13</v>
      </c>
      <c r="J5">
        <v>31</v>
      </c>
      <c r="K5" t="s">
        <v>20</v>
      </c>
      <c r="L5">
        <v>6998</v>
      </c>
      <c r="M5" s="1">
        <v>34822</v>
      </c>
      <c r="N5" t="str">
        <f t="shared" si="0"/>
        <v>Angela Flenderson</v>
      </c>
      <c r="O5" s="1">
        <v>34822</v>
      </c>
      <c r="P5" s="1" t="str">
        <v>03/05/1995</v>
      </c>
      <c r="Q5" s="1">
        <v>645</v>
      </c>
      <c r="R5" t="str">
        <v>06/10/1901</v>
      </c>
      <c r="S5" t="str">
        <f t="shared" si="1"/>
        <v>Angela.Flenderson@gmail.com</v>
      </c>
    </row>
    <row r="6" spans="1:19" x14ac:dyDescent="0.3">
      <c r="G6">
        <v>1005</v>
      </c>
      <c r="H6" t="s">
        <v>6</v>
      </c>
      <c r="I6" t="s">
        <v>14</v>
      </c>
      <c r="J6">
        <v>32</v>
      </c>
      <c r="K6" t="s">
        <v>19</v>
      </c>
      <c r="L6">
        <v>669876</v>
      </c>
      <c r="M6" s="1">
        <v>5</v>
      </c>
      <c r="N6" t="str">
        <f t="shared" si="0"/>
        <v>Toby Scott</v>
      </c>
      <c r="O6" s="1">
        <v>5</v>
      </c>
      <c r="P6" s="1" t="str">
        <v>05/01/1900</v>
      </c>
      <c r="Q6" s="1">
        <v>6566</v>
      </c>
      <c r="R6" t="str">
        <v>22/12/1917</v>
      </c>
      <c r="S6" t="str">
        <f>CONCATENATE(H6,".",I6,"@gmail.com")</f>
        <v>Toby.Scott@gmail.com</v>
      </c>
    </row>
    <row r="7" spans="1:19" x14ac:dyDescent="0.3">
      <c r="G7">
        <v>1006</v>
      </c>
      <c r="H7" t="s">
        <v>7</v>
      </c>
      <c r="I7" t="s">
        <v>15</v>
      </c>
      <c r="J7">
        <v>35</v>
      </c>
      <c r="K7" t="s">
        <v>19</v>
      </c>
      <c r="L7">
        <v>559623</v>
      </c>
      <c r="M7" s="1">
        <v>6</v>
      </c>
      <c r="N7" t="str">
        <f t="shared" si="0"/>
        <v>Meredith Palmer</v>
      </c>
      <c r="O7" s="1">
        <v>6</v>
      </c>
      <c r="P7" s="1" t="str">
        <v>06/01/1900</v>
      </c>
      <c r="Q7" s="1">
        <v>2151</v>
      </c>
      <c r="R7" t="str">
        <v>20/11/1905</v>
      </c>
      <c r="S7" t="str">
        <f t="shared" si="1"/>
        <v>Meredith.Palmer@gmail.com</v>
      </c>
    </row>
    <row r="8" spans="1:19" x14ac:dyDescent="0.3">
      <c r="G8">
        <v>1007</v>
      </c>
      <c r="H8" t="s">
        <v>8</v>
      </c>
      <c r="I8" t="s">
        <v>16</v>
      </c>
      <c r="J8">
        <v>32</v>
      </c>
      <c r="K8" t="s">
        <v>20</v>
      </c>
      <c r="L8">
        <v>566566</v>
      </c>
      <c r="M8" s="1">
        <v>8</v>
      </c>
      <c r="N8" t="str">
        <f t="shared" si="0"/>
        <v>Stanley Hudson</v>
      </c>
      <c r="O8" s="1">
        <v>8</v>
      </c>
      <c r="P8" s="1" t="str">
        <v>08/01/1900</v>
      </c>
      <c r="Q8" s="1">
        <v>55421</v>
      </c>
      <c r="R8" t="str">
        <v>25/09/2051</v>
      </c>
      <c r="S8" t="str">
        <f t="shared" si="1"/>
        <v>Stanley.Hudson@gmail.com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A9A9-8A60-44DC-AC97-E63C88EB9CDB}">
  <dimension ref="A1:Q8"/>
  <sheetViews>
    <sheetView topLeftCell="D1" workbookViewId="0">
      <selection activeCell="E1" sqref="E1:T8"/>
    </sheetView>
  </sheetViews>
  <sheetFormatPr defaultRowHeight="14.4" x14ac:dyDescent="0.3"/>
  <cols>
    <col min="1" max="1" width="17.21875" customWidth="1"/>
  </cols>
  <sheetData>
    <row r="1" spans="1:17" x14ac:dyDescent="0.3">
      <c r="A1" t="s">
        <v>57</v>
      </c>
      <c r="B1" t="s">
        <v>63</v>
      </c>
      <c r="E1" t="s">
        <v>0</v>
      </c>
      <c r="F1" t="s">
        <v>1</v>
      </c>
      <c r="G1" t="s">
        <v>9</v>
      </c>
      <c r="H1" t="s">
        <v>17</v>
      </c>
      <c r="I1" t="s">
        <v>18</v>
      </c>
      <c r="J1" t="s">
        <v>21</v>
      </c>
      <c r="K1" s="1" t="s">
        <v>34</v>
      </c>
      <c r="L1" t="s">
        <v>55</v>
      </c>
      <c r="M1" s="1" t="s">
        <v>52</v>
      </c>
      <c r="N1" s="1" t="s">
        <v>44</v>
      </c>
      <c r="O1" t="s">
        <v>51</v>
      </c>
      <c r="P1" t="s">
        <v>44</v>
      </c>
      <c r="Q1" t="s">
        <v>56</v>
      </c>
    </row>
    <row r="2" spans="1:17" x14ac:dyDescent="0.3">
      <c r="A2" t="s">
        <v>64</v>
      </c>
      <c r="B2" t="str">
        <f>_xlfn.XLOOKUP(A2&amp;"*",L2:L8,Q2:Q8,"not found",)</f>
        <v>not found</v>
      </c>
      <c r="E2">
        <v>1001</v>
      </c>
      <c r="F2" t="s">
        <v>2</v>
      </c>
      <c r="G2" t="s">
        <v>10</v>
      </c>
      <c r="H2">
        <v>30</v>
      </c>
      <c r="I2" t="s">
        <v>19</v>
      </c>
      <c r="J2">
        <v>1011000</v>
      </c>
      <c r="K2" s="1">
        <v>36933</v>
      </c>
      <c r="L2" t="str">
        <f>CONCATENATE(F2," ",G2)</f>
        <v>Jim Halpert</v>
      </c>
      <c r="M2" s="1">
        <v>36933</v>
      </c>
      <c r="N2" s="1" t="str" cm="1">
        <f t="array" ref="N2:N8">TEXT(M2:M8,"dd/mm/yyyy")</f>
        <v>11/02/2001</v>
      </c>
      <c r="O2" s="1">
        <v>4545</v>
      </c>
      <c r="P2" t="str" cm="1">
        <f t="array" ref="P2:P8">TEXT(O2:O8,"dd/mm/yyyy")</f>
        <v>10/06/1912</v>
      </c>
      <c r="Q2" t="str">
        <f>CONCATENATE(F2,".",G2,"@gmail.com")</f>
        <v>Jim.Halpert@gmail.com</v>
      </c>
    </row>
    <row r="3" spans="1:17" x14ac:dyDescent="0.3">
      <c r="A3" t="s">
        <v>11</v>
      </c>
      <c r="B3" t="str">
        <f>_xlfn.XLOOKUP("*"&amp;A3,L3:L9,Q3:Q9,"not found",2)</f>
        <v>Pam.Beasley@gmail.com</v>
      </c>
      <c r="E3">
        <v>1002</v>
      </c>
      <c r="F3" t="s">
        <v>3</v>
      </c>
      <c r="G3" t="s">
        <v>11</v>
      </c>
      <c r="H3">
        <v>30</v>
      </c>
      <c r="I3" t="s">
        <v>20</v>
      </c>
      <c r="J3">
        <v>5468000</v>
      </c>
      <c r="K3" s="1">
        <v>34770</v>
      </c>
      <c r="L3" t="str">
        <f t="shared" ref="L3:L8" si="0">CONCATENATE(F3," ",G3)</f>
        <v>Pam Beasley</v>
      </c>
      <c r="M3" s="1">
        <v>34770</v>
      </c>
      <c r="N3" s="1" t="str">
        <v>12/03/1995</v>
      </c>
      <c r="O3" s="1">
        <v>26450</v>
      </c>
      <c r="P3" t="str">
        <v>31/05/1972</v>
      </c>
      <c r="Q3" t="str">
        <f t="shared" ref="Q3:Q8" si="1">CONCATENATE(F3,".",G3,"@gmail.com")</f>
        <v>Pam.Beasley@gmail.com</v>
      </c>
    </row>
    <row r="4" spans="1:17" x14ac:dyDescent="0.3">
      <c r="A4" t="s">
        <v>7</v>
      </c>
      <c r="B4" t="str">
        <f>_xlfn.XLOOKUP(A4&amp;"*",L4:L10,Q4:Q10,"not found",2)</f>
        <v>Meredith.Palmer@gmail.com</v>
      </c>
      <c r="E4">
        <v>1003</v>
      </c>
      <c r="F4" t="s">
        <v>4</v>
      </c>
      <c r="G4" t="s">
        <v>12</v>
      </c>
      <c r="H4">
        <v>29</v>
      </c>
      <c r="I4" t="s">
        <v>19</v>
      </c>
      <c r="J4">
        <v>32650</v>
      </c>
      <c r="K4" s="1">
        <v>35036</v>
      </c>
      <c r="L4" t="str">
        <f t="shared" si="0"/>
        <v>Dwight Schrute</v>
      </c>
      <c r="M4" s="1">
        <v>35036</v>
      </c>
      <c r="N4" s="1" t="str">
        <v>03/12/1995</v>
      </c>
      <c r="O4" s="1">
        <v>5155</v>
      </c>
      <c r="P4" t="str">
        <v>10/02/1914</v>
      </c>
      <c r="Q4" t="str">
        <f t="shared" si="1"/>
        <v>Dwight.Schrute@gmail.com</v>
      </c>
    </row>
    <row r="5" spans="1:17" x14ac:dyDescent="0.3">
      <c r="E5">
        <v>1004</v>
      </c>
      <c r="F5" t="s">
        <v>5</v>
      </c>
      <c r="G5" t="s">
        <v>13</v>
      </c>
      <c r="H5">
        <v>31</v>
      </c>
      <c r="I5" t="s">
        <v>20</v>
      </c>
      <c r="J5">
        <v>6998</v>
      </c>
      <c r="K5" s="1">
        <v>34822</v>
      </c>
      <c r="L5" t="str">
        <f t="shared" si="0"/>
        <v>Angela Flenderson</v>
      </c>
      <c r="M5" s="1">
        <v>34822</v>
      </c>
      <c r="N5" s="1" t="str">
        <v>03/05/1995</v>
      </c>
      <c r="O5" s="1">
        <v>645</v>
      </c>
      <c r="P5" t="str">
        <v>06/10/1901</v>
      </c>
      <c r="Q5" t="str">
        <f t="shared" si="1"/>
        <v>Angela.Flenderson@gmail.com</v>
      </c>
    </row>
    <row r="6" spans="1:17" x14ac:dyDescent="0.3">
      <c r="E6">
        <v>1005</v>
      </c>
      <c r="F6" t="s">
        <v>6</v>
      </c>
      <c r="G6" t="s">
        <v>14</v>
      </c>
      <c r="H6">
        <v>32</v>
      </c>
      <c r="I6" t="s">
        <v>19</v>
      </c>
      <c r="J6">
        <v>669876</v>
      </c>
      <c r="K6" s="1">
        <v>5</v>
      </c>
      <c r="L6" t="str">
        <f t="shared" si="0"/>
        <v>Toby Scott</v>
      </c>
      <c r="M6" s="1">
        <v>5</v>
      </c>
      <c r="N6" s="1" t="str">
        <v>05/01/1900</v>
      </c>
      <c r="O6" s="1">
        <v>6566</v>
      </c>
      <c r="P6" t="str">
        <v>22/12/1917</v>
      </c>
      <c r="Q6" t="str">
        <f>CONCATENATE(F6,".",G6,"@gmail.com")</f>
        <v>Toby.Scott@gmail.com</v>
      </c>
    </row>
    <row r="7" spans="1:17" x14ac:dyDescent="0.3">
      <c r="E7">
        <v>1006</v>
      </c>
      <c r="F7" t="s">
        <v>7</v>
      </c>
      <c r="G7" t="s">
        <v>15</v>
      </c>
      <c r="H7">
        <v>35</v>
      </c>
      <c r="I7" t="s">
        <v>19</v>
      </c>
      <c r="J7">
        <v>559623</v>
      </c>
      <c r="K7" s="1">
        <v>6</v>
      </c>
      <c r="L7" t="str">
        <f t="shared" si="0"/>
        <v>Meredith Palmer</v>
      </c>
      <c r="M7" s="1">
        <v>6</v>
      </c>
      <c r="N7" s="1" t="str">
        <v>06/01/1900</v>
      </c>
      <c r="O7" s="1">
        <v>2151</v>
      </c>
      <c r="P7" t="str">
        <v>20/11/1905</v>
      </c>
      <c r="Q7" t="str">
        <f t="shared" si="1"/>
        <v>Meredith.Palmer@gmail.com</v>
      </c>
    </row>
    <row r="8" spans="1:17" x14ac:dyDescent="0.3">
      <c r="E8">
        <v>1007</v>
      </c>
      <c r="F8" t="s">
        <v>8</v>
      </c>
      <c r="G8" t="s">
        <v>16</v>
      </c>
      <c r="H8">
        <v>32</v>
      </c>
      <c r="I8" t="s">
        <v>20</v>
      </c>
      <c r="J8">
        <v>566566</v>
      </c>
      <c r="K8" s="1">
        <v>8</v>
      </c>
      <c r="L8" t="str">
        <f t="shared" si="0"/>
        <v>Stanley Hudson</v>
      </c>
      <c r="M8" s="1">
        <v>8</v>
      </c>
      <c r="N8" s="1" t="str">
        <v>08/01/1900</v>
      </c>
      <c r="O8" s="1">
        <v>55421</v>
      </c>
      <c r="P8" t="str">
        <v>25/09/2051</v>
      </c>
      <c r="Q8" t="str">
        <f t="shared" si="1"/>
        <v>Stanley.Hudson@gmail.com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CF29-BEA7-4967-93DA-459EC27DABF2}">
  <dimension ref="A1:R8"/>
  <sheetViews>
    <sheetView topLeftCell="L1" workbookViewId="0">
      <selection activeCell="E1" sqref="E1:T8"/>
    </sheetView>
  </sheetViews>
  <sheetFormatPr defaultRowHeight="14.4" x14ac:dyDescent="0.3"/>
  <cols>
    <col min="1" max="1" width="10.33203125" bestFit="1" customWidth="1"/>
  </cols>
  <sheetData>
    <row r="1" spans="1:18" x14ac:dyDescent="0.3">
      <c r="F1" t="s">
        <v>0</v>
      </c>
      <c r="G1" t="s">
        <v>1</v>
      </c>
      <c r="H1" t="s">
        <v>9</v>
      </c>
      <c r="I1" t="s">
        <v>17</v>
      </c>
      <c r="J1" t="s">
        <v>18</v>
      </c>
      <c r="K1" t="s">
        <v>21</v>
      </c>
      <c r="L1" s="1" t="s">
        <v>34</v>
      </c>
      <c r="M1" t="s">
        <v>55</v>
      </c>
      <c r="N1" s="1" t="s">
        <v>52</v>
      </c>
      <c r="O1" s="1" t="s">
        <v>44</v>
      </c>
      <c r="P1" t="s">
        <v>51</v>
      </c>
      <c r="Q1" t="s">
        <v>44</v>
      </c>
      <c r="R1" t="s">
        <v>56</v>
      </c>
    </row>
    <row r="2" spans="1:18" x14ac:dyDescent="0.3">
      <c r="F2">
        <v>1001</v>
      </c>
      <c r="G2" t="s">
        <v>2</v>
      </c>
      <c r="H2" t="s">
        <v>10</v>
      </c>
      <c r="I2">
        <v>30</v>
      </c>
      <c r="J2" t="s">
        <v>19</v>
      </c>
      <c r="K2">
        <v>1011000</v>
      </c>
      <c r="L2" s="1">
        <v>36933</v>
      </c>
      <c r="M2" t="str">
        <f>CONCATENATE(G2," ",H2)</f>
        <v>Jim Halpert</v>
      </c>
      <c r="N2" s="1">
        <v>36933</v>
      </c>
      <c r="O2" s="1" t="str" cm="1">
        <f t="array" ref="O2:O8">TEXT(N2:N8,"dd/mm/yyyy")</f>
        <v>11/02/2001</v>
      </c>
      <c r="P2" s="1">
        <v>4545</v>
      </c>
      <c r="Q2" t="str" cm="1">
        <f t="array" ref="Q2:Q8">TEXT(P2:P8,"dd/mm/yyyy")</f>
        <v>10/06/1912</v>
      </c>
      <c r="R2" t="str">
        <f>CONCATENATE(G2,".",H2,"@gmail.com")</f>
        <v>Jim.Halpert@gmail.com</v>
      </c>
    </row>
    <row r="3" spans="1:18" x14ac:dyDescent="0.3">
      <c r="A3" t="s">
        <v>65</v>
      </c>
      <c r="B3" t="s">
        <v>66</v>
      </c>
      <c r="F3">
        <v>1002</v>
      </c>
      <c r="G3" t="s">
        <v>3</v>
      </c>
      <c r="H3" t="s">
        <v>11</v>
      </c>
      <c r="I3">
        <v>30</v>
      </c>
      <c r="J3" t="s">
        <v>20</v>
      </c>
      <c r="K3">
        <v>5468000</v>
      </c>
      <c r="L3" s="1">
        <v>34770</v>
      </c>
      <c r="M3" t="str">
        <f t="shared" ref="M3:M8" si="0">CONCATENATE(G3," ",H3)</f>
        <v>Pam Beasley</v>
      </c>
      <c r="N3" s="1">
        <v>34770</v>
      </c>
      <c r="O3" s="1" t="str">
        <v>12/03/1995</v>
      </c>
      <c r="P3" s="1">
        <v>26450</v>
      </c>
      <c r="Q3" t="str">
        <v>31/05/1972</v>
      </c>
      <c r="R3" t="str">
        <f t="shared" ref="R3:R8" si="1">CONCATENATE(G3,".",H3,"@gmail.com")</f>
        <v>Pam.Beasley@gmail.com</v>
      </c>
    </row>
    <row r="4" spans="1:18" x14ac:dyDescent="0.3">
      <c r="A4" s="1">
        <v>36526</v>
      </c>
      <c r="B4" t="e">
        <f>_xlfn.XLOOKUP(A4,_xlfn.ANCHORARRAY(Q2),,,)</f>
        <v>#VALUE!</v>
      </c>
      <c r="F4">
        <v>1003</v>
      </c>
      <c r="G4" t="s">
        <v>4</v>
      </c>
      <c r="H4" t="s">
        <v>12</v>
      </c>
      <c r="I4">
        <v>29</v>
      </c>
      <c r="J4" t="s">
        <v>19</v>
      </c>
      <c r="K4">
        <v>32650</v>
      </c>
      <c r="L4" s="1">
        <v>35036</v>
      </c>
      <c r="M4" t="str">
        <f t="shared" si="0"/>
        <v>Dwight Schrute</v>
      </c>
      <c r="N4" s="1">
        <v>35036</v>
      </c>
      <c r="O4" s="1" t="str">
        <v>03/12/1995</v>
      </c>
      <c r="P4" s="1">
        <v>5155</v>
      </c>
      <c r="Q4" t="str">
        <v>10/02/1914</v>
      </c>
      <c r="R4" t="str">
        <f t="shared" si="1"/>
        <v>Dwight.Schrute@gmail.com</v>
      </c>
    </row>
    <row r="5" spans="1:18" x14ac:dyDescent="0.3">
      <c r="A5" s="1">
        <v>5</v>
      </c>
      <c r="B5" t="e" cm="1">
        <f t="array" ref="B5">_xlfn.XLOOKUP(A5,_xlfn.ANCHORARRAY(Q3),M3:M9,,)</f>
        <v>#REF!</v>
      </c>
      <c r="F5">
        <v>1004</v>
      </c>
      <c r="G5" t="s">
        <v>5</v>
      </c>
      <c r="H5" t="s">
        <v>13</v>
      </c>
      <c r="I5">
        <v>31</v>
      </c>
      <c r="J5" t="s">
        <v>20</v>
      </c>
      <c r="K5">
        <v>6998</v>
      </c>
      <c r="L5" s="1">
        <v>34822</v>
      </c>
      <c r="M5" t="str">
        <f t="shared" si="0"/>
        <v>Angela Flenderson</v>
      </c>
      <c r="N5" s="1">
        <v>34822</v>
      </c>
      <c r="O5" s="1" t="str">
        <v>03/05/1995</v>
      </c>
      <c r="P5" s="1">
        <v>645</v>
      </c>
      <c r="Q5" t="str">
        <v>06/10/1901</v>
      </c>
      <c r="R5" t="str">
        <f t="shared" si="1"/>
        <v>Angela.Flenderson@gmail.com</v>
      </c>
    </row>
    <row r="6" spans="1:18" x14ac:dyDescent="0.3">
      <c r="F6">
        <v>1005</v>
      </c>
      <c r="G6" t="s">
        <v>6</v>
      </c>
      <c r="H6" t="s">
        <v>14</v>
      </c>
      <c r="I6">
        <v>32</v>
      </c>
      <c r="J6" t="s">
        <v>19</v>
      </c>
      <c r="K6">
        <v>669876</v>
      </c>
      <c r="L6" s="1">
        <v>5</v>
      </c>
      <c r="M6" t="str">
        <f t="shared" si="0"/>
        <v>Toby Scott</v>
      </c>
      <c r="N6" s="1">
        <v>5</v>
      </c>
      <c r="O6" s="1" t="str">
        <v>05/01/1900</v>
      </c>
      <c r="P6" s="1">
        <v>6566</v>
      </c>
      <c r="Q6" t="str">
        <v>22/12/1917</v>
      </c>
      <c r="R6" t="str">
        <f>CONCATENATE(G6,".",H6,"@gmail.com")</f>
        <v>Toby.Scott@gmail.com</v>
      </c>
    </row>
    <row r="7" spans="1:18" x14ac:dyDescent="0.3">
      <c r="F7">
        <v>1006</v>
      </c>
      <c r="G7" t="s">
        <v>7</v>
      </c>
      <c r="H7" t="s">
        <v>15</v>
      </c>
      <c r="I7">
        <v>35</v>
      </c>
      <c r="J7" t="s">
        <v>19</v>
      </c>
      <c r="K7">
        <v>559623</v>
      </c>
      <c r="L7" s="1">
        <v>6</v>
      </c>
      <c r="M7" t="str">
        <f t="shared" si="0"/>
        <v>Meredith Palmer</v>
      </c>
      <c r="N7" s="1">
        <v>6</v>
      </c>
      <c r="O7" s="1" t="str">
        <v>06/01/1900</v>
      </c>
      <c r="P7" s="1">
        <v>2151</v>
      </c>
      <c r="Q7" t="str">
        <v>20/11/1905</v>
      </c>
      <c r="R7" t="str">
        <f t="shared" si="1"/>
        <v>Meredith.Palmer@gmail.com</v>
      </c>
    </row>
    <row r="8" spans="1:18" x14ac:dyDescent="0.3">
      <c r="F8">
        <v>1007</v>
      </c>
      <c r="G8" t="s">
        <v>8</v>
      </c>
      <c r="H8" t="s">
        <v>16</v>
      </c>
      <c r="I8">
        <v>32</v>
      </c>
      <c r="J8" t="s">
        <v>20</v>
      </c>
      <c r="K8">
        <v>566566</v>
      </c>
      <c r="L8" s="1">
        <v>8</v>
      </c>
      <c r="M8" t="str">
        <f t="shared" si="0"/>
        <v>Stanley Hudson</v>
      </c>
      <c r="N8" s="1">
        <v>8</v>
      </c>
      <c r="O8" s="1" t="str">
        <v>08/01/1900</v>
      </c>
      <c r="P8" s="1">
        <v>55421</v>
      </c>
      <c r="Q8" t="str">
        <v>25/09/2051</v>
      </c>
      <c r="R8" t="str">
        <f t="shared" si="1"/>
        <v>Stanley.Hudson@gmail.com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E35F5-73BB-43ED-9996-D4B7AA314250}">
  <dimension ref="B1:R4"/>
  <sheetViews>
    <sheetView topLeftCell="D1" workbookViewId="0">
      <selection activeCell="F28" sqref="F28"/>
    </sheetView>
  </sheetViews>
  <sheetFormatPr defaultRowHeight="14.4" x14ac:dyDescent="0.3"/>
  <cols>
    <col min="2" max="2" width="13" customWidth="1"/>
    <col min="3" max="3" width="22.88671875" customWidth="1"/>
    <col min="6" max="6" width="19.33203125" customWidth="1"/>
  </cols>
  <sheetData>
    <row r="1" spans="2:18" x14ac:dyDescent="0.3">
      <c r="C1" t="s">
        <v>84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2:18" x14ac:dyDescent="0.3">
      <c r="B2" t="s">
        <v>82</v>
      </c>
      <c r="C2">
        <f>_xlfn.XLOOKUP(H1,G1:R1,G2:R2)</f>
        <v>656</v>
      </c>
      <c r="F2" t="s">
        <v>79</v>
      </c>
      <c r="G2">
        <v>310</v>
      </c>
      <c r="H2">
        <v>656</v>
      </c>
      <c r="I2">
        <v>365</v>
      </c>
      <c r="J2">
        <v>98</v>
      </c>
      <c r="K2">
        <v>366</v>
      </c>
      <c r="L2">
        <v>3355</v>
      </c>
      <c r="M2">
        <v>458</v>
      </c>
      <c r="N2">
        <v>458</v>
      </c>
      <c r="O2">
        <v>3545</v>
      </c>
      <c r="P2">
        <v>458</v>
      </c>
      <c r="Q2">
        <v>452</v>
      </c>
      <c r="R2">
        <v>555</v>
      </c>
    </row>
    <row r="3" spans="2:18" x14ac:dyDescent="0.3">
      <c r="B3" t="s">
        <v>80</v>
      </c>
      <c r="C3">
        <f t="shared" ref="C3:C4" si="0">_xlfn.XLOOKUP(H2,G2:R2,G3:R3)</f>
        <v>877</v>
      </c>
      <c r="F3" t="s">
        <v>80</v>
      </c>
      <c r="G3">
        <v>557</v>
      </c>
      <c r="H3">
        <v>877</v>
      </c>
      <c r="I3">
        <v>489</v>
      </c>
      <c r="J3">
        <v>456</v>
      </c>
      <c r="K3">
        <v>559</v>
      </c>
      <c r="L3">
        <v>698</v>
      </c>
      <c r="M3">
        <v>68</v>
      </c>
      <c r="N3">
        <v>887</v>
      </c>
      <c r="O3">
        <v>12</v>
      </c>
      <c r="P3">
        <v>658</v>
      </c>
      <c r="Q3">
        <v>548</v>
      </c>
      <c r="R3">
        <v>997</v>
      </c>
    </row>
    <row r="4" spans="2:18" x14ac:dyDescent="0.3">
      <c r="B4" t="s">
        <v>83</v>
      </c>
      <c r="C4">
        <f t="shared" si="0"/>
        <v>125</v>
      </c>
      <c r="F4" t="s">
        <v>81</v>
      </c>
      <c r="G4">
        <v>589</v>
      </c>
      <c r="H4">
        <v>125</v>
      </c>
      <c r="I4">
        <v>456</v>
      </c>
      <c r="J4">
        <v>885</v>
      </c>
      <c r="K4">
        <v>444</v>
      </c>
      <c r="L4">
        <v>589</v>
      </c>
      <c r="M4">
        <v>1555</v>
      </c>
      <c r="N4">
        <v>458</v>
      </c>
      <c r="O4">
        <v>455</v>
      </c>
      <c r="P4">
        <v>695</v>
      </c>
      <c r="Q4">
        <v>455</v>
      </c>
      <c r="R4">
        <v>8554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A264-64AB-4ADE-8AEC-403DA0D1E012}">
  <dimension ref="B1:R11"/>
  <sheetViews>
    <sheetView workbookViewId="0">
      <selection activeCell="C9" sqref="C9:C11"/>
    </sheetView>
  </sheetViews>
  <sheetFormatPr defaultRowHeight="14.4" x14ac:dyDescent="0.3"/>
  <cols>
    <col min="2" max="2" width="22.21875" customWidth="1"/>
  </cols>
  <sheetData>
    <row r="1" spans="2:18" x14ac:dyDescent="0.3">
      <c r="C1" t="s">
        <v>84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</row>
    <row r="2" spans="2:18" x14ac:dyDescent="0.3">
      <c r="B2" t="s">
        <v>82</v>
      </c>
      <c r="C2">
        <f>_xlfn.XLOOKUP(H1,G1:R1,G2:R2)</f>
        <v>656</v>
      </c>
      <c r="F2" t="s">
        <v>79</v>
      </c>
      <c r="G2">
        <v>310</v>
      </c>
      <c r="H2">
        <v>656</v>
      </c>
      <c r="I2">
        <v>365</v>
      </c>
      <c r="J2">
        <v>98</v>
      </c>
      <c r="K2">
        <v>366</v>
      </c>
      <c r="L2">
        <v>3355</v>
      </c>
      <c r="M2">
        <v>458</v>
      </c>
      <c r="N2">
        <v>458</v>
      </c>
      <c r="O2">
        <v>3545</v>
      </c>
      <c r="P2">
        <v>458</v>
      </c>
      <c r="Q2">
        <v>452</v>
      </c>
      <c r="R2">
        <v>555</v>
      </c>
    </row>
    <row r="3" spans="2:18" x14ac:dyDescent="0.3">
      <c r="B3" t="s">
        <v>80</v>
      </c>
      <c r="C3">
        <f t="shared" ref="C3:C4" si="0">_xlfn.XLOOKUP(H2,G2:R2,G3:R3)</f>
        <v>877</v>
      </c>
      <c r="F3" t="s">
        <v>80</v>
      </c>
      <c r="G3">
        <v>557</v>
      </c>
      <c r="H3">
        <v>877</v>
      </c>
      <c r="I3">
        <v>489</v>
      </c>
      <c r="J3">
        <v>456</v>
      </c>
      <c r="K3">
        <v>559</v>
      </c>
      <c r="L3">
        <v>698</v>
      </c>
      <c r="M3">
        <v>68</v>
      </c>
      <c r="N3">
        <v>887</v>
      </c>
      <c r="O3">
        <v>12</v>
      </c>
      <c r="P3">
        <v>658</v>
      </c>
      <c r="Q3">
        <v>548</v>
      </c>
      <c r="R3">
        <v>997</v>
      </c>
    </row>
    <row r="4" spans="2:18" x14ac:dyDescent="0.3">
      <c r="B4" t="s">
        <v>83</v>
      </c>
      <c r="C4">
        <f t="shared" si="0"/>
        <v>125</v>
      </c>
      <c r="F4" t="s">
        <v>81</v>
      </c>
      <c r="G4">
        <v>589</v>
      </c>
      <c r="H4">
        <v>125</v>
      </c>
      <c r="I4">
        <v>456</v>
      </c>
      <c r="J4">
        <v>885</v>
      </c>
      <c r="K4">
        <v>444</v>
      </c>
      <c r="L4">
        <v>589</v>
      </c>
      <c r="M4">
        <v>1555</v>
      </c>
      <c r="N4">
        <v>458</v>
      </c>
      <c r="O4">
        <v>455</v>
      </c>
      <c r="P4">
        <v>695</v>
      </c>
      <c r="Q4">
        <v>455</v>
      </c>
      <c r="R4">
        <v>8554</v>
      </c>
    </row>
    <row r="7" spans="2:18" x14ac:dyDescent="0.3">
      <c r="B7" t="s">
        <v>85</v>
      </c>
    </row>
    <row r="8" spans="2:18" x14ac:dyDescent="0.3">
      <c r="C8" t="s">
        <v>86</v>
      </c>
    </row>
    <row r="9" spans="2:18" x14ac:dyDescent="0.3">
      <c r="B9" t="s">
        <v>82</v>
      </c>
      <c r="C9">
        <f>SUM(_xlfn.XLOOKUP(H1,G1:R1,G2:R2):_xlfn.XLOOKUP(I1,G1:R1,G2:R2))</f>
        <v>1021</v>
      </c>
    </row>
    <row r="10" spans="2:18" x14ac:dyDescent="0.3">
      <c r="B10" t="s">
        <v>80</v>
      </c>
      <c r="C10">
        <f>SUM(_xlfn.XLOOKUP(H2,G2:R2,G3:R3):_xlfn.XLOOKUP(I2,G2:R2,G3:R3))</f>
        <v>1366</v>
      </c>
    </row>
    <row r="11" spans="2:18" x14ac:dyDescent="0.3">
      <c r="B11" t="s">
        <v>83</v>
      </c>
      <c r="C11">
        <f>SUM(_xlfn.XLOOKUP(H3,G3:R3,G4:R4):_xlfn.XLOOKUP(I3,G3:R3,G4:R4))</f>
        <v>581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9798-A68A-406D-B59E-0A4BA08FFAC7}">
  <dimension ref="A1:R9"/>
  <sheetViews>
    <sheetView tabSelected="1" workbookViewId="0">
      <selection activeCell="A10" sqref="A10"/>
    </sheetView>
  </sheetViews>
  <sheetFormatPr defaultRowHeight="14.4" x14ac:dyDescent="0.3"/>
  <cols>
    <col min="1" max="1" width="21.5546875" customWidth="1"/>
    <col min="12" max="12" width="10.33203125" bestFit="1" customWidth="1"/>
    <col min="14" max="14" width="10.33203125" bestFit="1" customWidth="1"/>
    <col min="16" max="16" width="10.33203125" bestFit="1" customWidth="1"/>
  </cols>
  <sheetData>
    <row r="1" spans="1:18" x14ac:dyDescent="0.3">
      <c r="F1" t="s">
        <v>0</v>
      </c>
      <c r="G1" t="s">
        <v>1</v>
      </c>
      <c r="H1" t="s">
        <v>9</v>
      </c>
      <c r="I1" t="s">
        <v>17</v>
      </c>
      <c r="J1" t="s">
        <v>18</v>
      </c>
      <c r="K1" t="s">
        <v>21</v>
      </c>
      <c r="L1" s="1" t="s">
        <v>34</v>
      </c>
      <c r="M1" t="s">
        <v>55</v>
      </c>
      <c r="N1" s="1" t="s">
        <v>52</v>
      </c>
      <c r="O1" s="1" t="s">
        <v>44</v>
      </c>
      <c r="P1" t="s">
        <v>51</v>
      </c>
      <c r="Q1" t="s">
        <v>44</v>
      </c>
      <c r="R1" t="s">
        <v>56</v>
      </c>
    </row>
    <row r="2" spans="1:18" x14ac:dyDescent="0.3">
      <c r="A2" t="s">
        <v>87</v>
      </c>
      <c r="B2" t="s">
        <v>58</v>
      </c>
      <c r="F2">
        <v>1001</v>
      </c>
      <c r="G2" t="s">
        <v>2</v>
      </c>
      <c r="H2" t="s">
        <v>10</v>
      </c>
      <c r="I2">
        <v>30</v>
      </c>
      <c r="J2" t="s">
        <v>19</v>
      </c>
      <c r="K2">
        <v>1011000</v>
      </c>
      <c r="L2" s="1">
        <v>36933</v>
      </c>
      <c r="M2" s="5" t="str">
        <f>CONCATENATE(G2," ",H2)</f>
        <v>Jim Halpert</v>
      </c>
      <c r="N2" s="1">
        <v>36933</v>
      </c>
      <c r="O2" s="1" t="str" cm="1">
        <f t="array" ref="O2:O8">TEXT(N2:N8,"dd/mm/yyyy")</f>
        <v>11/02/2001</v>
      </c>
      <c r="P2" s="1">
        <v>4545</v>
      </c>
      <c r="Q2" t="str" cm="1">
        <f t="array" ref="Q2:Q8">TEXT(P2:P8,"dd/mm/yyyy")</f>
        <v>10/06/1912</v>
      </c>
      <c r="R2" t="str">
        <f>CONCATENATE(G2,".",H2,"@gmail.com")</f>
        <v>Jim.Halpert@gmail.com</v>
      </c>
    </row>
    <row r="3" spans="1:18" x14ac:dyDescent="0.3">
      <c r="A3" t="s">
        <v>88</v>
      </c>
      <c r="B3" t="str">
        <f>VLOOKUP(A3,M2:R8,6,FALSE)</f>
        <v>Angela.Flenderson@gmail.com</v>
      </c>
      <c r="F3">
        <v>1002</v>
      </c>
      <c r="G3" t="s">
        <v>3</v>
      </c>
      <c r="H3" t="s">
        <v>11</v>
      </c>
      <c r="I3">
        <v>30</v>
      </c>
      <c r="J3" t="s">
        <v>20</v>
      </c>
      <c r="K3">
        <v>5468000</v>
      </c>
      <c r="L3" s="1">
        <v>34770</v>
      </c>
      <c r="M3" s="5" t="str">
        <f t="shared" ref="M3:M8" si="0">CONCATENATE(G3," ",H3)</f>
        <v>Pam Beasley</v>
      </c>
      <c r="N3" s="1">
        <v>34770</v>
      </c>
      <c r="O3" s="1" t="str">
        <v>12/03/1995</v>
      </c>
      <c r="P3" s="1">
        <v>26450</v>
      </c>
      <c r="Q3" t="str">
        <v>31/05/1972</v>
      </c>
      <c r="R3" t="str">
        <f t="shared" ref="R3:R8" si="1">CONCATENATE(G3,".",H3,"@gmail.com")</f>
        <v>Pam.Beasley@gmail.com</v>
      </c>
    </row>
    <row r="4" spans="1:18" x14ac:dyDescent="0.3">
      <c r="A4" t="s">
        <v>61</v>
      </c>
      <c r="B4" t="str">
        <f t="shared" ref="B4:B5" si="2">VLOOKUP(A4,M3:R9,6,FALSE)</f>
        <v>Toby.Scott@gmail.com</v>
      </c>
      <c r="F4">
        <v>1003</v>
      </c>
      <c r="G4" t="s">
        <v>4</v>
      </c>
      <c r="H4" t="s">
        <v>12</v>
      </c>
      <c r="I4">
        <v>29</v>
      </c>
      <c r="J4" t="s">
        <v>19</v>
      </c>
      <c r="K4">
        <v>32650</v>
      </c>
      <c r="L4" s="1">
        <v>35036</v>
      </c>
      <c r="M4" s="5" t="str">
        <f t="shared" si="0"/>
        <v>Dwight Schrute</v>
      </c>
      <c r="N4" s="1">
        <v>35036</v>
      </c>
      <c r="O4" s="1" t="str">
        <v>03/12/1995</v>
      </c>
      <c r="P4" s="1">
        <v>5155</v>
      </c>
      <c r="Q4" t="str">
        <v>10/02/1914</v>
      </c>
      <c r="R4" t="str">
        <f t="shared" si="1"/>
        <v>Dwight.Schrute@gmail.com</v>
      </c>
    </row>
    <row r="5" spans="1:18" x14ac:dyDescent="0.3">
      <c r="A5" t="s">
        <v>60</v>
      </c>
      <c r="B5" t="str">
        <f t="shared" si="2"/>
        <v>Stanley.Hudson@gmail.com</v>
      </c>
      <c r="F5">
        <v>1004</v>
      </c>
      <c r="G5" t="s">
        <v>5</v>
      </c>
      <c r="H5" t="s">
        <v>13</v>
      </c>
      <c r="I5">
        <v>31</v>
      </c>
      <c r="J5" t="s">
        <v>20</v>
      </c>
      <c r="K5">
        <v>6998</v>
      </c>
      <c r="L5" s="1">
        <v>34822</v>
      </c>
      <c r="M5" s="5" t="str">
        <f t="shared" si="0"/>
        <v>Angela Flenderson</v>
      </c>
      <c r="N5" s="1">
        <v>34822</v>
      </c>
      <c r="O5" s="1" t="str">
        <v>03/05/1995</v>
      </c>
      <c r="P5" s="1">
        <v>645</v>
      </c>
      <c r="Q5" t="str">
        <v>06/10/1901</v>
      </c>
      <c r="R5" t="str">
        <f t="shared" si="1"/>
        <v>Angela.Flenderson@gmail.com</v>
      </c>
    </row>
    <row r="6" spans="1:18" x14ac:dyDescent="0.3">
      <c r="F6">
        <v>1005</v>
      </c>
      <c r="G6" t="s">
        <v>6</v>
      </c>
      <c r="H6" t="s">
        <v>14</v>
      </c>
      <c r="I6">
        <v>32</v>
      </c>
      <c r="J6" t="s">
        <v>19</v>
      </c>
      <c r="K6">
        <v>669876</v>
      </c>
      <c r="L6" s="1">
        <v>5</v>
      </c>
      <c r="M6" s="5" t="str">
        <f t="shared" si="0"/>
        <v>Toby Scott</v>
      </c>
      <c r="N6" s="1">
        <v>5</v>
      </c>
      <c r="O6" s="1" t="str">
        <v>05/01/1900</v>
      </c>
      <c r="P6" s="1">
        <v>6566</v>
      </c>
      <c r="Q6" t="str">
        <v>22/12/1917</v>
      </c>
      <c r="R6" t="str">
        <f>CONCATENATE(G6,".",H6,"@gmail.com")</f>
        <v>Toby.Scott@gmail.com</v>
      </c>
    </row>
    <row r="7" spans="1:18" x14ac:dyDescent="0.3">
      <c r="F7">
        <v>1006</v>
      </c>
      <c r="G7" t="s">
        <v>7</v>
      </c>
      <c r="H7" t="s">
        <v>15</v>
      </c>
      <c r="I7">
        <v>35</v>
      </c>
      <c r="J7" t="s">
        <v>19</v>
      </c>
      <c r="K7">
        <v>559623</v>
      </c>
      <c r="L7" s="1">
        <v>6</v>
      </c>
      <c r="M7" s="5" t="str">
        <f t="shared" si="0"/>
        <v>Meredith Palmer</v>
      </c>
      <c r="N7" s="1">
        <v>6</v>
      </c>
      <c r="O7" s="1" t="str">
        <v>06/01/1900</v>
      </c>
      <c r="P7" s="1">
        <v>2151</v>
      </c>
      <c r="Q7" t="str">
        <v>20/11/1905</v>
      </c>
      <c r="R7" t="str">
        <f t="shared" si="1"/>
        <v>Meredith.Palmer@gmail.com</v>
      </c>
    </row>
    <row r="8" spans="1:18" x14ac:dyDescent="0.3">
      <c r="F8">
        <v>1007</v>
      </c>
      <c r="G8" t="s">
        <v>8</v>
      </c>
      <c r="H8" t="s">
        <v>16</v>
      </c>
      <c r="I8">
        <v>32</v>
      </c>
      <c r="J8" t="s">
        <v>20</v>
      </c>
      <c r="K8">
        <v>566566</v>
      </c>
      <c r="L8" s="1">
        <v>8</v>
      </c>
      <c r="M8" s="5" t="str">
        <f t="shared" si="0"/>
        <v>Stanley Hudson</v>
      </c>
      <c r="N8" s="1">
        <v>8</v>
      </c>
      <c r="O8" s="1" t="str">
        <v>08/01/1900</v>
      </c>
      <c r="P8" s="1">
        <v>55421</v>
      </c>
      <c r="Q8" t="str">
        <v>25/09/2051</v>
      </c>
      <c r="R8" t="str">
        <f t="shared" si="1"/>
        <v>Stanley.Hudson@gmail.com</v>
      </c>
    </row>
    <row r="9" spans="1:18" x14ac:dyDescent="0.3">
      <c r="N9" s="1"/>
      <c r="P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trim</vt:lpstr>
      <vt:lpstr>concatenate</vt:lpstr>
      <vt:lpstr>substitute</vt:lpstr>
      <vt:lpstr>sum-sumIF</vt:lpstr>
      <vt:lpstr>Count-CountIF</vt:lpstr>
      <vt:lpstr>Days-NetworkDAYS</vt:lpstr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Babu P</dc:creator>
  <cp:lastModifiedBy>Celia Babu P</cp:lastModifiedBy>
  <dcterms:created xsi:type="dcterms:W3CDTF">2024-11-29T11:30:34Z</dcterms:created>
  <dcterms:modified xsi:type="dcterms:W3CDTF">2024-12-09T05:25:25Z</dcterms:modified>
</cp:coreProperties>
</file>